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insurance-app\input-file\"/>
    </mc:Choice>
  </mc:AlternateContent>
  <xr:revisionPtr revIDLastSave="0" documentId="13_ncr:1_{6C1612D0-D3B8-40DF-A7CB-DC854E24C5D0}" xr6:coauthVersionLast="47" xr6:coauthVersionMax="47" xr10:uidLastSave="{00000000-0000-0000-0000-000000000000}"/>
  <bookViews>
    <workbookView xWindow="-120" yWindow="-120" windowWidth="20730" windowHeight="11160" xr2:uid="{7ACEF0EC-52C0-4491-B197-DE91C9CED2CA}"/>
  </bookViews>
  <sheets>
    <sheet name="כללי" sheetId="3" r:id="rId1"/>
    <sheet name="info" sheetId="2" r:id="rId2"/>
    <sheet name="prod" sheetId="1" r:id="rId3"/>
    <sheet name="data" sheetId="4" r:id="rId4"/>
    <sheet name="doc" sheetId="6" r:id="rId5"/>
    <sheet name="data (2)" sheetId="5" r:id="rId6"/>
    <sheet name="גיליון2" sheetId="7" r:id="rId7"/>
  </sheets>
  <definedNames>
    <definedName name="_xlnm._FilterDatabase" localSheetId="3" hidden="1">data!$A$4:$Z$173</definedName>
    <definedName name="_xlnm._FilterDatabase" localSheetId="5" hidden="1">'data (2)'!$A$4:$L$26</definedName>
    <definedName name="_xlnm._FilterDatabase" localSheetId="2" hidden="1">prod!$A$1:$D$199</definedName>
    <definedName name="_xlnm._FilterDatabase" localSheetId="6" hidden="1">גיליון2!$A$1:$A$176</definedName>
    <definedName name="anaf">info!$B$1:$F$12</definedName>
    <definedName name="_xlnm.Extract" localSheetId="6">גיליון2!$G$1</definedName>
    <definedName name="PERMYA" localSheetId="0">#REF!</definedName>
    <definedName name="PERMYA">'data (2)'!$B$5:$L$26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6" i="1" l="1"/>
  <c r="F166" i="1" s="1"/>
  <c r="E158" i="1"/>
  <c r="F158" i="1" s="1"/>
  <c r="E150" i="1"/>
  <c r="F150" i="1" s="1"/>
  <c r="E142" i="1"/>
  <c r="F142" i="1" s="1"/>
  <c r="E136" i="1"/>
  <c r="F136" i="1" s="1"/>
  <c r="E134" i="1"/>
  <c r="F134" i="1" s="1"/>
  <c r="E128" i="1"/>
  <c r="F128" i="1" s="1"/>
  <c r="E126" i="1"/>
  <c r="F126" i="1" s="1"/>
  <c r="E120" i="1"/>
  <c r="F120" i="1" s="1"/>
  <c r="E118" i="1"/>
  <c r="F118" i="1" s="1"/>
  <c r="E112" i="1"/>
  <c r="F112" i="1" s="1"/>
  <c r="E110" i="1"/>
  <c r="F110" i="1" s="1"/>
  <c r="E104" i="1"/>
  <c r="F104" i="1" s="1"/>
  <c r="E102" i="1"/>
  <c r="F102" i="1" s="1"/>
  <c r="E96" i="1"/>
  <c r="F96" i="1" s="1"/>
  <c r="E94" i="1"/>
  <c r="F94" i="1" s="1"/>
  <c r="E92" i="1"/>
  <c r="F92" i="1" s="1"/>
  <c r="E88" i="1"/>
  <c r="F88" i="1" s="1"/>
  <c r="E86" i="1"/>
  <c r="F86" i="1" s="1"/>
  <c r="E84" i="1"/>
  <c r="F84" i="1" s="1"/>
  <c r="E80" i="1"/>
  <c r="F80" i="1" s="1"/>
  <c r="E78" i="1"/>
  <c r="F78" i="1" s="1"/>
  <c r="E76" i="1"/>
  <c r="F76" i="1" s="1"/>
  <c r="E72" i="1"/>
  <c r="F72" i="1" s="1"/>
  <c r="E70" i="1"/>
  <c r="F70" i="1" s="1"/>
  <c r="E68" i="1"/>
  <c r="F68" i="1" s="1"/>
  <c r="E64" i="1"/>
  <c r="F64" i="1" s="1"/>
  <c r="E62" i="1"/>
  <c r="F62" i="1" s="1"/>
  <c r="E60" i="1"/>
  <c r="F60" i="1" s="1"/>
  <c r="E56" i="1"/>
  <c r="F56" i="1" s="1"/>
  <c r="E50" i="1"/>
  <c r="F50" i="1" s="1"/>
  <c r="E49" i="1"/>
  <c r="F49" i="1" s="1"/>
  <c r="E48" i="1"/>
  <c r="F48" i="1" s="1"/>
  <c r="E41" i="1"/>
  <c r="F41" i="1" s="1"/>
  <c r="E40" i="1"/>
  <c r="F40" i="1" s="1"/>
  <c r="E33" i="1"/>
  <c r="F33" i="1" s="1"/>
  <c r="E32" i="1"/>
  <c r="F32" i="1" s="1"/>
  <c r="E25" i="1"/>
  <c r="F25" i="1" s="1"/>
  <c r="E24" i="1"/>
  <c r="F24" i="1" s="1"/>
  <c r="E22" i="1"/>
  <c r="F22" i="1" s="1"/>
  <c r="E18" i="1"/>
  <c r="F18" i="1" s="1"/>
  <c r="E17" i="1"/>
  <c r="F17" i="1" s="1"/>
  <c r="E16" i="1"/>
  <c r="F16" i="1" s="1"/>
  <c r="E14" i="1"/>
  <c r="F14" i="1" s="1"/>
  <c r="E10" i="1"/>
  <c r="F10" i="1" s="1"/>
  <c r="E9" i="1"/>
  <c r="F9" i="1" s="1"/>
  <c r="E8" i="1"/>
  <c r="F8" i="1" s="1"/>
  <c r="E3" i="1"/>
  <c r="F3" i="1" s="1"/>
  <c r="E58" i="1"/>
  <c r="F58" i="1" s="1"/>
  <c r="E59" i="1"/>
  <c r="F59" i="1" s="1"/>
  <c r="E61" i="1"/>
  <c r="F61" i="1" s="1"/>
  <c r="E63" i="1"/>
  <c r="F63" i="1" s="1"/>
  <c r="E65" i="1"/>
  <c r="F65" i="1" s="1"/>
  <c r="E66" i="1"/>
  <c r="F66" i="1" s="1"/>
  <c r="E67" i="1"/>
  <c r="F67" i="1" s="1"/>
  <c r="E69" i="1"/>
  <c r="F69" i="1" s="1"/>
  <c r="E71" i="1"/>
  <c r="F71" i="1" s="1"/>
  <c r="E73" i="1"/>
  <c r="F73" i="1" s="1"/>
  <c r="E74" i="1"/>
  <c r="F74" i="1" s="1"/>
  <c r="E75" i="1"/>
  <c r="F75" i="1" s="1"/>
  <c r="E77" i="1"/>
  <c r="F77" i="1" s="1"/>
  <c r="E79" i="1"/>
  <c r="F79" i="1" s="1"/>
  <c r="E81" i="1"/>
  <c r="F81" i="1" s="1"/>
  <c r="E82" i="1"/>
  <c r="F82" i="1" s="1"/>
  <c r="E83" i="1"/>
  <c r="F83" i="1" s="1"/>
  <c r="E85" i="1"/>
  <c r="F85" i="1" s="1"/>
  <c r="E87" i="1"/>
  <c r="F87" i="1" s="1"/>
  <c r="E89" i="1"/>
  <c r="F89" i="1" s="1"/>
  <c r="E90" i="1"/>
  <c r="F90" i="1" s="1"/>
  <c r="E91" i="1"/>
  <c r="F91" i="1" s="1"/>
  <c r="E93" i="1"/>
  <c r="F93" i="1" s="1"/>
  <c r="E95" i="1"/>
  <c r="F95" i="1" s="1"/>
  <c r="E97" i="1"/>
  <c r="F97" i="1" s="1"/>
  <c r="E98" i="1"/>
  <c r="F98" i="1" s="1"/>
  <c r="E99" i="1"/>
  <c r="F99" i="1" s="1"/>
  <c r="E100" i="1"/>
  <c r="F100" i="1" s="1"/>
  <c r="E101" i="1"/>
  <c r="F101" i="1" s="1"/>
  <c r="E103" i="1"/>
  <c r="F103" i="1" s="1"/>
  <c r="E105" i="1"/>
  <c r="F105" i="1" s="1"/>
  <c r="E106" i="1"/>
  <c r="F106" i="1" s="1"/>
  <c r="E107" i="1"/>
  <c r="F107" i="1" s="1"/>
  <c r="E108" i="1"/>
  <c r="F108" i="1" s="1"/>
  <c r="E109" i="1"/>
  <c r="F109" i="1" s="1"/>
  <c r="E111" i="1"/>
  <c r="F111" i="1" s="1"/>
  <c r="E113" i="1"/>
  <c r="F113" i="1" s="1"/>
  <c r="E114" i="1"/>
  <c r="F114" i="1" s="1"/>
  <c r="E115" i="1"/>
  <c r="F115" i="1" s="1"/>
  <c r="E116" i="1"/>
  <c r="F116" i="1" s="1"/>
  <c r="E117" i="1"/>
  <c r="F117" i="1" s="1"/>
  <c r="E119" i="1"/>
  <c r="F119" i="1" s="1"/>
  <c r="E121" i="1"/>
  <c r="F121" i="1" s="1"/>
  <c r="E122" i="1"/>
  <c r="F122" i="1" s="1"/>
  <c r="E123" i="1"/>
  <c r="F123" i="1" s="1"/>
  <c r="E124" i="1"/>
  <c r="F124" i="1" s="1"/>
  <c r="E125" i="1"/>
  <c r="F125" i="1" s="1"/>
  <c r="E127" i="1"/>
  <c r="F127" i="1" s="1"/>
  <c r="E129" i="1"/>
  <c r="F129" i="1" s="1"/>
  <c r="E130" i="1"/>
  <c r="F130" i="1" s="1"/>
  <c r="E131" i="1"/>
  <c r="F131" i="1" s="1"/>
  <c r="E132" i="1"/>
  <c r="F132" i="1" s="1"/>
  <c r="E133" i="1"/>
  <c r="F133" i="1" s="1"/>
  <c r="E135" i="1"/>
  <c r="F135" i="1" s="1"/>
  <c r="E137" i="1"/>
  <c r="F137" i="1" s="1"/>
  <c r="E138" i="1"/>
  <c r="F138" i="1" s="1"/>
  <c r="E139" i="1"/>
  <c r="F139" i="1" s="1"/>
  <c r="E140" i="1"/>
  <c r="F140" i="1" s="1"/>
  <c r="E141" i="1"/>
  <c r="F141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7" i="1"/>
  <c r="F167" i="1" s="1"/>
  <c r="E168" i="1"/>
  <c r="F168" i="1" s="1"/>
  <c r="E169" i="1"/>
  <c r="F169" i="1" s="1"/>
  <c r="E57" i="1"/>
  <c r="F57" i="1" s="1"/>
  <c r="E46" i="1"/>
  <c r="F46" i="1" s="1"/>
  <c r="E47" i="1"/>
  <c r="F47" i="1" s="1"/>
  <c r="E51" i="1"/>
  <c r="F51" i="1" s="1"/>
  <c r="E52" i="1"/>
  <c r="F52" i="1" s="1"/>
  <c r="E53" i="1"/>
  <c r="F53" i="1" s="1"/>
  <c r="E54" i="1"/>
  <c r="F54" i="1" s="1"/>
  <c r="E55" i="1"/>
  <c r="F55" i="1" s="1"/>
  <c r="E45" i="1"/>
  <c r="F4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2" i="1"/>
  <c r="F42" i="1" s="1"/>
  <c r="E43" i="1"/>
  <c r="F43" i="1" s="1"/>
  <c r="E44" i="1"/>
  <c r="F44" i="1" s="1"/>
  <c r="E23" i="1"/>
  <c r="F23" i="1" s="1"/>
  <c r="E7" i="1"/>
  <c r="F7" i="1" s="1"/>
  <c r="E11" i="1"/>
  <c r="F11" i="1" s="1"/>
  <c r="E12" i="1"/>
  <c r="F12" i="1" s="1"/>
  <c r="E13" i="1"/>
  <c r="F13" i="1" s="1"/>
  <c r="E15" i="1"/>
  <c r="F15" i="1" s="1"/>
  <c r="E19" i="1"/>
  <c r="F19" i="1" s="1"/>
  <c r="E20" i="1"/>
  <c r="F20" i="1" s="1"/>
  <c r="E21" i="1"/>
  <c r="F21" i="1" s="1"/>
  <c r="E6" i="1"/>
  <c r="F6" i="1" s="1"/>
  <c r="E4" i="1"/>
  <c r="F4" i="1" s="1"/>
  <c r="E5" i="1"/>
  <c r="F5" i="1" s="1"/>
  <c r="E2" i="1"/>
  <c r="L27" i="5"/>
  <c r="K27" i="5"/>
  <c r="J27" i="5"/>
  <c r="I27" i="5"/>
  <c r="H27" i="5"/>
  <c r="G27" i="5"/>
  <c r="F27" i="5"/>
  <c r="E27" i="5"/>
  <c r="D27" i="5"/>
  <c r="C27" i="5"/>
  <c r="E170" i="1" l="1"/>
  <c r="F170" i="1" s="1"/>
  <c r="F2" i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D6" i="4"/>
  <c r="S6" i="4" s="1"/>
  <c r="F6" i="4"/>
  <c r="G6" i="4"/>
  <c r="D7" i="4"/>
  <c r="S7" i="4" s="1"/>
  <c r="F7" i="4"/>
  <c r="G7" i="4"/>
  <c r="D8" i="4"/>
  <c r="S8" i="4" s="1"/>
  <c r="F8" i="4"/>
  <c r="G8" i="4"/>
  <c r="D9" i="4"/>
  <c r="F9" i="4"/>
  <c r="G9" i="4"/>
  <c r="D10" i="4"/>
  <c r="F10" i="4"/>
  <c r="G10" i="4"/>
  <c r="D11" i="4"/>
  <c r="F11" i="4"/>
  <c r="G11" i="4"/>
  <c r="D12" i="4"/>
  <c r="F12" i="4"/>
  <c r="G12" i="4"/>
  <c r="D13" i="4"/>
  <c r="F13" i="4"/>
  <c r="G13" i="4"/>
  <c r="D14" i="4"/>
  <c r="F14" i="4"/>
  <c r="G14" i="4"/>
  <c r="D15" i="4"/>
  <c r="F15" i="4"/>
  <c r="G15" i="4"/>
  <c r="D16" i="4"/>
  <c r="F16" i="4"/>
  <c r="G16" i="4"/>
  <c r="D17" i="4"/>
  <c r="F17" i="4"/>
  <c r="G17" i="4"/>
  <c r="D18" i="4"/>
  <c r="F18" i="4"/>
  <c r="G18" i="4"/>
  <c r="D19" i="4"/>
  <c r="F19" i="4"/>
  <c r="G19" i="4"/>
  <c r="D20" i="4"/>
  <c r="F20" i="4"/>
  <c r="G20" i="4"/>
  <c r="D21" i="4"/>
  <c r="F21" i="4"/>
  <c r="G21" i="4"/>
  <c r="D22" i="4"/>
  <c r="F22" i="4"/>
  <c r="G22" i="4"/>
  <c r="D23" i="4"/>
  <c r="F23" i="4"/>
  <c r="G23" i="4"/>
  <c r="D24" i="4"/>
  <c r="F24" i="4"/>
  <c r="G24" i="4"/>
  <c r="D25" i="4"/>
  <c r="F25" i="4"/>
  <c r="G25" i="4"/>
  <c r="D26" i="4"/>
  <c r="F26" i="4"/>
  <c r="G26" i="4"/>
  <c r="D27" i="4"/>
  <c r="F27" i="4"/>
  <c r="G27" i="4"/>
  <c r="D28" i="4"/>
  <c r="S28" i="4" s="1"/>
  <c r="F28" i="4"/>
  <c r="G28" i="4"/>
  <c r="D29" i="4"/>
  <c r="S29" i="4" s="1"/>
  <c r="F29" i="4"/>
  <c r="G29" i="4"/>
  <c r="D30" i="4"/>
  <c r="S30" i="4" s="1"/>
  <c r="F30" i="4"/>
  <c r="G30" i="4"/>
  <c r="D31" i="4"/>
  <c r="F31" i="4"/>
  <c r="G31" i="4"/>
  <c r="D32" i="4"/>
  <c r="F32" i="4"/>
  <c r="G32" i="4"/>
  <c r="D33" i="4"/>
  <c r="F33" i="4"/>
  <c r="G33" i="4"/>
  <c r="D34" i="4"/>
  <c r="F34" i="4"/>
  <c r="G34" i="4"/>
  <c r="D35" i="4"/>
  <c r="F35" i="4"/>
  <c r="G35" i="4"/>
  <c r="D36" i="4"/>
  <c r="F36" i="4"/>
  <c r="G36" i="4"/>
  <c r="D37" i="4"/>
  <c r="F37" i="4"/>
  <c r="G37" i="4"/>
  <c r="D38" i="4"/>
  <c r="F38" i="4"/>
  <c r="G38" i="4"/>
  <c r="D39" i="4"/>
  <c r="F39" i="4"/>
  <c r="G39" i="4"/>
  <c r="D40" i="4"/>
  <c r="F40" i="4"/>
  <c r="G40" i="4"/>
  <c r="D41" i="4"/>
  <c r="F41" i="4"/>
  <c r="G41" i="4"/>
  <c r="D42" i="4"/>
  <c r="F42" i="4"/>
  <c r="G42" i="4"/>
  <c r="D43" i="4"/>
  <c r="F43" i="4"/>
  <c r="G43" i="4"/>
  <c r="D44" i="4"/>
  <c r="F44" i="4"/>
  <c r="G44" i="4"/>
  <c r="D45" i="4"/>
  <c r="F45" i="4"/>
  <c r="G45" i="4"/>
  <c r="D46" i="4"/>
  <c r="F46" i="4"/>
  <c r="G46" i="4"/>
  <c r="D47" i="4"/>
  <c r="F47" i="4"/>
  <c r="G47" i="4"/>
  <c r="D48" i="4"/>
  <c r="F48" i="4"/>
  <c r="G48" i="4"/>
  <c r="D49" i="4"/>
  <c r="F49" i="4"/>
  <c r="G49" i="4"/>
  <c r="D50" i="4"/>
  <c r="F50" i="4"/>
  <c r="G50" i="4"/>
  <c r="D51" i="4"/>
  <c r="F51" i="4"/>
  <c r="G51" i="4"/>
  <c r="D52" i="4"/>
  <c r="F52" i="4"/>
  <c r="G52" i="4"/>
  <c r="D53" i="4"/>
  <c r="F53" i="4"/>
  <c r="G53" i="4"/>
  <c r="D54" i="4"/>
  <c r="F54" i="4"/>
  <c r="G54" i="4"/>
  <c r="D55" i="4"/>
  <c r="F55" i="4"/>
  <c r="G55" i="4"/>
  <c r="D56" i="4"/>
  <c r="F56" i="4"/>
  <c r="G56" i="4"/>
  <c r="D57" i="4"/>
  <c r="F57" i="4"/>
  <c r="G57" i="4"/>
  <c r="D58" i="4"/>
  <c r="F58" i="4"/>
  <c r="G58" i="4"/>
  <c r="D59" i="4"/>
  <c r="F59" i="4"/>
  <c r="G59" i="4"/>
  <c r="D60" i="4"/>
  <c r="F60" i="4"/>
  <c r="G60" i="4"/>
  <c r="D61" i="4"/>
  <c r="F61" i="4"/>
  <c r="G61" i="4"/>
  <c r="D62" i="4"/>
  <c r="F62" i="4"/>
  <c r="G62" i="4"/>
  <c r="D63" i="4"/>
  <c r="F63" i="4"/>
  <c r="G63" i="4"/>
  <c r="D64" i="4"/>
  <c r="F64" i="4"/>
  <c r="G64" i="4"/>
  <c r="D65" i="4"/>
  <c r="F65" i="4"/>
  <c r="G65" i="4"/>
  <c r="D66" i="4"/>
  <c r="F66" i="4"/>
  <c r="G66" i="4"/>
  <c r="D67" i="4"/>
  <c r="F67" i="4"/>
  <c r="G67" i="4"/>
  <c r="D68" i="4"/>
  <c r="F68" i="4"/>
  <c r="G68" i="4"/>
  <c r="D69" i="4"/>
  <c r="F69" i="4"/>
  <c r="G69" i="4"/>
  <c r="D70" i="4"/>
  <c r="F70" i="4"/>
  <c r="G70" i="4"/>
  <c r="D71" i="4"/>
  <c r="F71" i="4"/>
  <c r="G71" i="4"/>
  <c r="D72" i="4"/>
  <c r="F72" i="4"/>
  <c r="G72" i="4"/>
  <c r="D73" i="4"/>
  <c r="F73" i="4"/>
  <c r="G73" i="4"/>
  <c r="D74" i="4"/>
  <c r="F74" i="4"/>
  <c r="G74" i="4"/>
  <c r="D75" i="4"/>
  <c r="F75" i="4"/>
  <c r="G75" i="4"/>
  <c r="D76" i="4"/>
  <c r="F76" i="4"/>
  <c r="G76" i="4"/>
  <c r="D77" i="4"/>
  <c r="F77" i="4"/>
  <c r="G77" i="4"/>
  <c r="D78" i="4"/>
  <c r="F78" i="4"/>
  <c r="G78" i="4"/>
  <c r="D79" i="4"/>
  <c r="F79" i="4"/>
  <c r="G79" i="4"/>
  <c r="D80" i="4"/>
  <c r="F80" i="4"/>
  <c r="G80" i="4"/>
  <c r="D81" i="4"/>
  <c r="F81" i="4"/>
  <c r="G81" i="4"/>
  <c r="D82" i="4"/>
  <c r="F82" i="4"/>
  <c r="G82" i="4"/>
  <c r="D83" i="4"/>
  <c r="F83" i="4"/>
  <c r="G83" i="4"/>
  <c r="D84" i="4"/>
  <c r="F84" i="4"/>
  <c r="G84" i="4"/>
  <c r="D85" i="4"/>
  <c r="F85" i="4"/>
  <c r="G85" i="4"/>
  <c r="D86" i="4"/>
  <c r="F86" i="4"/>
  <c r="G86" i="4"/>
  <c r="D87" i="4"/>
  <c r="F87" i="4"/>
  <c r="G87" i="4"/>
  <c r="D88" i="4"/>
  <c r="F88" i="4"/>
  <c r="G88" i="4"/>
  <c r="D89" i="4"/>
  <c r="F89" i="4"/>
  <c r="G89" i="4"/>
  <c r="D90" i="4"/>
  <c r="F90" i="4"/>
  <c r="G90" i="4"/>
  <c r="D91" i="4"/>
  <c r="F91" i="4"/>
  <c r="G91" i="4"/>
  <c r="D92" i="4"/>
  <c r="F92" i="4"/>
  <c r="G92" i="4"/>
  <c r="D93" i="4"/>
  <c r="F93" i="4"/>
  <c r="G93" i="4"/>
  <c r="D94" i="4"/>
  <c r="F94" i="4"/>
  <c r="G94" i="4"/>
  <c r="D95" i="4"/>
  <c r="F95" i="4"/>
  <c r="G95" i="4"/>
  <c r="D96" i="4"/>
  <c r="F96" i="4"/>
  <c r="G96" i="4"/>
  <c r="D97" i="4"/>
  <c r="F97" i="4"/>
  <c r="G97" i="4"/>
  <c r="D98" i="4"/>
  <c r="F98" i="4"/>
  <c r="G98" i="4"/>
  <c r="D99" i="4"/>
  <c r="F99" i="4"/>
  <c r="G99" i="4"/>
  <c r="D100" i="4"/>
  <c r="F100" i="4"/>
  <c r="G100" i="4"/>
  <c r="D101" i="4"/>
  <c r="F101" i="4"/>
  <c r="G101" i="4"/>
  <c r="D102" i="4"/>
  <c r="F102" i="4"/>
  <c r="G102" i="4"/>
  <c r="D103" i="4"/>
  <c r="F103" i="4"/>
  <c r="G103" i="4"/>
  <c r="D104" i="4"/>
  <c r="F104" i="4"/>
  <c r="G104" i="4"/>
  <c r="D105" i="4"/>
  <c r="F105" i="4"/>
  <c r="G105" i="4"/>
  <c r="D106" i="4"/>
  <c r="F106" i="4"/>
  <c r="G106" i="4"/>
  <c r="D107" i="4"/>
  <c r="F107" i="4"/>
  <c r="G107" i="4"/>
  <c r="D108" i="4"/>
  <c r="F108" i="4"/>
  <c r="G108" i="4"/>
  <c r="D109" i="4"/>
  <c r="F109" i="4"/>
  <c r="G109" i="4"/>
  <c r="D110" i="4"/>
  <c r="F110" i="4"/>
  <c r="G110" i="4"/>
  <c r="D111" i="4"/>
  <c r="F111" i="4"/>
  <c r="G111" i="4"/>
  <c r="D112" i="4"/>
  <c r="F112" i="4"/>
  <c r="G112" i="4"/>
  <c r="D113" i="4"/>
  <c r="F113" i="4"/>
  <c r="G113" i="4"/>
  <c r="D114" i="4"/>
  <c r="F114" i="4"/>
  <c r="G114" i="4"/>
  <c r="D115" i="4"/>
  <c r="F115" i="4"/>
  <c r="G115" i="4"/>
  <c r="D116" i="4"/>
  <c r="F116" i="4"/>
  <c r="G116" i="4"/>
  <c r="D117" i="4"/>
  <c r="F117" i="4"/>
  <c r="G117" i="4"/>
  <c r="D118" i="4"/>
  <c r="F118" i="4"/>
  <c r="G118" i="4"/>
  <c r="D119" i="4"/>
  <c r="F119" i="4"/>
  <c r="G119" i="4"/>
  <c r="D120" i="4"/>
  <c r="F120" i="4"/>
  <c r="G120" i="4"/>
  <c r="D121" i="4"/>
  <c r="F121" i="4"/>
  <c r="G121" i="4"/>
  <c r="D122" i="4"/>
  <c r="F122" i="4"/>
  <c r="G122" i="4"/>
  <c r="D123" i="4"/>
  <c r="F123" i="4"/>
  <c r="G123" i="4"/>
  <c r="D124" i="4"/>
  <c r="F124" i="4"/>
  <c r="G124" i="4"/>
  <c r="D125" i="4"/>
  <c r="F125" i="4"/>
  <c r="G125" i="4"/>
  <c r="D126" i="4"/>
  <c r="F126" i="4"/>
  <c r="G126" i="4"/>
  <c r="D127" i="4"/>
  <c r="F127" i="4"/>
  <c r="G127" i="4"/>
  <c r="D128" i="4"/>
  <c r="F128" i="4"/>
  <c r="G128" i="4"/>
  <c r="D129" i="4"/>
  <c r="F129" i="4"/>
  <c r="G129" i="4"/>
  <c r="D130" i="4"/>
  <c r="F130" i="4"/>
  <c r="G130" i="4"/>
  <c r="D131" i="4"/>
  <c r="F131" i="4"/>
  <c r="G131" i="4"/>
  <c r="D132" i="4"/>
  <c r="F132" i="4"/>
  <c r="G132" i="4"/>
  <c r="D133" i="4"/>
  <c r="F133" i="4"/>
  <c r="G133" i="4"/>
  <c r="D134" i="4"/>
  <c r="F134" i="4"/>
  <c r="G134" i="4"/>
  <c r="D135" i="4"/>
  <c r="F135" i="4"/>
  <c r="G135" i="4"/>
  <c r="D136" i="4"/>
  <c r="F136" i="4"/>
  <c r="G136" i="4"/>
  <c r="D137" i="4"/>
  <c r="F137" i="4"/>
  <c r="G137" i="4"/>
  <c r="D138" i="4"/>
  <c r="F138" i="4"/>
  <c r="G138" i="4"/>
  <c r="D139" i="4"/>
  <c r="F139" i="4"/>
  <c r="G139" i="4"/>
  <c r="D140" i="4"/>
  <c r="F140" i="4"/>
  <c r="G140" i="4"/>
  <c r="D141" i="4"/>
  <c r="F141" i="4"/>
  <c r="G141" i="4"/>
  <c r="D142" i="4"/>
  <c r="F142" i="4"/>
  <c r="G142" i="4"/>
  <c r="D143" i="4"/>
  <c r="S143" i="4" s="1"/>
  <c r="F143" i="4"/>
  <c r="G143" i="4"/>
  <c r="D144" i="4"/>
  <c r="S144" i="4" s="1"/>
  <c r="F144" i="4"/>
  <c r="G144" i="4"/>
  <c r="D145" i="4"/>
  <c r="S145" i="4" s="1"/>
  <c r="F145" i="4"/>
  <c r="G145" i="4"/>
  <c r="D146" i="4"/>
  <c r="F146" i="4"/>
  <c r="G146" i="4"/>
  <c r="D147" i="4"/>
  <c r="F147" i="4"/>
  <c r="G147" i="4"/>
  <c r="D148" i="4"/>
  <c r="F148" i="4"/>
  <c r="G148" i="4"/>
  <c r="D149" i="4"/>
  <c r="F149" i="4"/>
  <c r="G149" i="4"/>
  <c r="D150" i="4"/>
  <c r="F150" i="4"/>
  <c r="G150" i="4"/>
  <c r="D151" i="4"/>
  <c r="F151" i="4"/>
  <c r="G151" i="4"/>
  <c r="D152" i="4"/>
  <c r="F152" i="4"/>
  <c r="G152" i="4"/>
  <c r="D153" i="4"/>
  <c r="F153" i="4"/>
  <c r="G153" i="4"/>
  <c r="D154" i="4"/>
  <c r="F154" i="4"/>
  <c r="G154" i="4"/>
  <c r="D155" i="4"/>
  <c r="F155" i="4"/>
  <c r="G155" i="4"/>
  <c r="D156" i="4"/>
  <c r="F156" i="4"/>
  <c r="G156" i="4"/>
  <c r="D157" i="4"/>
  <c r="F157" i="4"/>
  <c r="G157" i="4"/>
  <c r="D158" i="4"/>
  <c r="F158" i="4"/>
  <c r="G158" i="4"/>
  <c r="D159" i="4"/>
  <c r="F159" i="4"/>
  <c r="G159" i="4"/>
  <c r="D160" i="4"/>
  <c r="F160" i="4"/>
  <c r="G160" i="4"/>
  <c r="D161" i="4"/>
  <c r="F161" i="4"/>
  <c r="G161" i="4"/>
  <c r="D162" i="4"/>
  <c r="F162" i="4"/>
  <c r="G162" i="4"/>
  <c r="D163" i="4"/>
  <c r="F163" i="4"/>
  <c r="G163" i="4"/>
  <c r="D164" i="4"/>
  <c r="F164" i="4"/>
  <c r="G164" i="4"/>
  <c r="D165" i="4"/>
  <c r="F165" i="4"/>
  <c r="G165" i="4"/>
  <c r="D166" i="4"/>
  <c r="F166" i="4"/>
  <c r="G166" i="4"/>
  <c r="D167" i="4"/>
  <c r="F167" i="4"/>
  <c r="G167" i="4"/>
  <c r="D168" i="4"/>
  <c r="F168" i="4"/>
  <c r="G168" i="4"/>
  <c r="D169" i="4"/>
  <c r="F169" i="4"/>
  <c r="G169" i="4"/>
  <c r="D170" i="4"/>
  <c r="F170" i="4"/>
  <c r="G170" i="4"/>
  <c r="D171" i="4"/>
  <c r="F171" i="4"/>
  <c r="G171" i="4"/>
  <c r="D172" i="4"/>
  <c r="F172" i="4"/>
  <c r="G172" i="4"/>
  <c r="C28" i="5"/>
  <c r="D28" i="5"/>
  <c r="E28" i="5"/>
  <c r="E32" i="5" s="1"/>
  <c r="F28" i="5"/>
  <c r="F32" i="5" s="1"/>
  <c r="G28" i="5"/>
  <c r="G32" i="5" s="1"/>
  <c r="H28" i="5"/>
  <c r="H32" i="5" s="1"/>
  <c r="I28" i="5"/>
  <c r="J28" i="5"/>
  <c r="J32" i="5" s="1"/>
  <c r="K28" i="5"/>
  <c r="L28" i="5"/>
  <c r="B28" i="5"/>
  <c r="B32" i="5" s="1"/>
  <c r="L32" i="5"/>
  <c r="K32" i="5"/>
  <c r="I32" i="5"/>
  <c r="D32" i="5"/>
  <c r="C32" i="5"/>
  <c r="F5" i="4"/>
  <c r="G5" i="4"/>
  <c r="H5" i="4"/>
  <c r="F4" i="4"/>
  <c r="G4" i="4"/>
  <c r="H4" i="4"/>
  <c r="D5" i="4"/>
  <c r="D4" i="4"/>
  <c r="B203" i="1" a="1"/>
  <c r="B203" i="1" s="1"/>
  <c r="H55" i="3"/>
  <c r="H35" i="3"/>
  <c r="H18" i="3"/>
  <c r="H31" i="3"/>
  <c r="C34" i="3" a="1"/>
  <c r="C34" i="3" s="1"/>
  <c r="K27" i="3"/>
  <c r="H26" i="3"/>
  <c r="H25" i="3"/>
  <c r="H24" i="3"/>
  <c r="H22" i="3"/>
  <c r="B13" i="3"/>
  <c r="B12" i="3"/>
  <c r="B11" i="3"/>
  <c r="B10" i="3"/>
  <c r="B9" i="3"/>
  <c r="B8" i="3"/>
  <c r="B7" i="3"/>
  <c r="B6" i="3"/>
  <c r="B5" i="3"/>
  <c r="B4" i="3"/>
  <c r="B3" i="3"/>
  <c r="W94" i="4" l="1"/>
  <c r="V94" i="4"/>
  <c r="U94" i="4"/>
  <c r="T94" i="4"/>
  <c r="S94" i="4"/>
  <c r="X78" i="4"/>
  <c r="U78" i="4"/>
  <c r="T78" i="4"/>
  <c r="W78" i="4"/>
  <c r="V78" i="4"/>
  <c r="S78" i="4"/>
  <c r="Y78" i="4"/>
  <c r="W70" i="4"/>
  <c r="T70" i="4"/>
  <c r="V70" i="4"/>
  <c r="U70" i="4"/>
  <c r="S70" i="4"/>
  <c r="T62" i="4"/>
  <c r="S62" i="4"/>
  <c r="V38" i="4"/>
  <c r="U38" i="4"/>
  <c r="T38" i="4"/>
  <c r="S38" i="4"/>
  <c r="U171" i="4"/>
  <c r="T171" i="4"/>
  <c r="Y171" i="4"/>
  <c r="X171" i="4"/>
  <c r="W171" i="4"/>
  <c r="S171" i="4"/>
  <c r="V171" i="4"/>
  <c r="T163" i="4"/>
  <c r="Y163" i="4"/>
  <c r="X163" i="4"/>
  <c r="W163" i="4"/>
  <c r="V163" i="4"/>
  <c r="S163" i="4"/>
  <c r="U163" i="4"/>
  <c r="W155" i="4"/>
  <c r="V155" i="4"/>
  <c r="U155" i="4"/>
  <c r="S155" i="4"/>
  <c r="T155" i="4"/>
  <c r="T147" i="4"/>
  <c r="S147" i="4"/>
  <c r="T139" i="4"/>
  <c r="X139" i="4"/>
  <c r="W139" i="4"/>
  <c r="V139" i="4"/>
  <c r="S139" i="4"/>
  <c r="U139" i="4"/>
  <c r="V131" i="4"/>
  <c r="U131" i="4"/>
  <c r="S131" i="4"/>
  <c r="T131" i="4"/>
  <c r="T123" i="4"/>
  <c r="W123" i="4"/>
  <c r="V123" i="4"/>
  <c r="S123" i="4"/>
  <c r="U123" i="4"/>
  <c r="X115" i="4"/>
  <c r="W115" i="4"/>
  <c r="U115" i="4"/>
  <c r="T115" i="4"/>
  <c r="S115" i="4"/>
  <c r="V115" i="4"/>
  <c r="V107" i="4"/>
  <c r="T107" i="4"/>
  <c r="S107" i="4"/>
  <c r="U107" i="4"/>
  <c r="U99" i="4"/>
  <c r="T99" i="4"/>
  <c r="X99" i="4"/>
  <c r="W99" i="4"/>
  <c r="S99" i="4"/>
  <c r="V99" i="4"/>
  <c r="T91" i="4"/>
  <c r="V91" i="4"/>
  <c r="S91" i="4"/>
  <c r="U91" i="4"/>
  <c r="U83" i="4"/>
  <c r="T83" i="4"/>
  <c r="W83" i="4"/>
  <c r="S83" i="4"/>
  <c r="V83" i="4"/>
  <c r="V75" i="4"/>
  <c r="U75" i="4"/>
  <c r="T75" i="4"/>
  <c r="S75" i="4"/>
  <c r="W75" i="4"/>
  <c r="X75" i="4"/>
  <c r="U67" i="4"/>
  <c r="T67" i="4"/>
  <c r="V67" i="4"/>
  <c r="S67" i="4"/>
  <c r="U59" i="4"/>
  <c r="Y59" i="4"/>
  <c r="X59" i="4"/>
  <c r="W59" i="4"/>
  <c r="T59" i="4"/>
  <c r="S59" i="4"/>
  <c r="V59" i="4"/>
  <c r="U51" i="4"/>
  <c r="T51" i="4"/>
  <c r="S51" i="4"/>
  <c r="V51" i="4"/>
  <c r="T43" i="4"/>
  <c r="S43" i="4"/>
  <c r="U43" i="4"/>
  <c r="X43" i="4"/>
  <c r="W43" i="4"/>
  <c r="V43" i="4"/>
  <c r="U35" i="4"/>
  <c r="T35" i="4"/>
  <c r="S35" i="4"/>
  <c r="V19" i="4"/>
  <c r="S19" i="4"/>
  <c r="U19" i="4"/>
  <c r="T19" i="4"/>
  <c r="W19" i="4"/>
  <c r="S11" i="4"/>
  <c r="T11" i="4"/>
  <c r="S148" i="4"/>
  <c r="T148" i="4"/>
  <c r="W126" i="4"/>
  <c r="V126" i="4"/>
  <c r="T126" i="4"/>
  <c r="X126" i="4"/>
  <c r="U126" i="4"/>
  <c r="S126" i="4"/>
  <c r="X86" i="4"/>
  <c r="W86" i="4"/>
  <c r="U86" i="4"/>
  <c r="T86" i="4"/>
  <c r="V86" i="4"/>
  <c r="S86" i="4"/>
  <c r="U168" i="4"/>
  <c r="T168" i="4"/>
  <c r="X168" i="4"/>
  <c r="W168" i="4"/>
  <c r="V168" i="4"/>
  <c r="S168" i="4"/>
  <c r="U160" i="4"/>
  <c r="T160" i="4"/>
  <c r="X160" i="4"/>
  <c r="W160" i="4"/>
  <c r="S160" i="4"/>
  <c r="V160" i="4"/>
  <c r="T152" i="4"/>
  <c r="V152" i="4"/>
  <c r="S152" i="4"/>
  <c r="U152" i="4"/>
  <c r="W136" i="4"/>
  <c r="V136" i="4"/>
  <c r="U136" i="4"/>
  <c r="T136" i="4"/>
  <c r="S136" i="4"/>
  <c r="U128" i="4"/>
  <c r="T128" i="4"/>
  <c r="Y128" i="4"/>
  <c r="X128" i="4"/>
  <c r="W128" i="4"/>
  <c r="V128" i="4"/>
  <c r="S128" i="4"/>
  <c r="V120" i="4"/>
  <c r="U120" i="4"/>
  <c r="T120" i="4"/>
  <c r="S120" i="4"/>
  <c r="V112" i="4"/>
  <c r="U112" i="4"/>
  <c r="W112" i="4"/>
  <c r="T112" i="4"/>
  <c r="S112" i="4"/>
  <c r="U104" i="4"/>
  <c r="T104" i="4"/>
  <c r="S104" i="4"/>
  <c r="W96" i="4"/>
  <c r="V96" i="4"/>
  <c r="U96" i="4"/>
  <c r="S96" i="4"/>
  <c r="T96" i="4"/>
  <c r="V88" i="4"/>
  <c r="U88" i="4"/>
  <c r="Y88" i="4"/>
  <c r="X88" i="4"/>
  <c r="W88" i="4"/>
  <c r="S88" i="4"/>
  <c r="T88" i="4"/>
  <c r="T80" i="4"/>
  <c r="V80" i="4"/>
  <c r="U80" i="4"/>
  <c r="S80" i="4"/>
  <c r="W72" i="4"/>
  <c r="T72" i="4"/>
  <c r="S72" i="4"/>
  <c r="V72" i="4"/>
  <c r="U72" i="4"/>
  <c r="S64" i="4"/>
  <c r="U64" i="4"/>
  <c r="T64" i="4"/>
  <c r="U56" i="4"/>
  <c r="X56" i="4"/>
  <c r="W56" i="4"/>
  <c r="S56" i="4"/>
  <c r="T56" i="4"/>
  <c r="V56" i="4"/>
  <c r="U48" i="4"/>
  <c r="Y48" i="4"/>
  <c r="X48" i="4"/>
  <c r="W48" i="4"/>
  <c r="S48" i="4"/>
  <c r="V48" i="4"/>
  <c r="T48" i="4"/>
  <c r="W40" i="4"/>
  <c r="V40" i="4"/>
  <c r="S40" i="4"/>
  <c r="U40" i="4"/>
  <c r="T40" i="4"/>
  <c r="S32" i="4"/>
  <c r="T32" i="4"/>
  <c r="T24" i="4"/>
  <c r="S24" i="4"/>
  <c r="X24" i="4"/>
  <c r="Y24" i="4"/>
  <c r="W24" i="4"/>
  <c r="V24" i="4"/>
  <c r="U24" i="4"/>
  <c r="U16" i="4"/>
  <c r="S16" i="4"/>
  <c r="T16" i="4"/>
  <c r="V16" i="4"/>
  <c r="W156" i="4"/>
  <c r="V156" i="4"/>
  <c r="T156" i="4"/>
  <c r="U156" i="4"/>
  <c r="S156" i="4"/>
  <c r="V166" i="4"/>
  <c r="U166" i="4"/>
  <c r="W166" i="4"/>
  <c r="S166" i="4"/>
  <c r="T166" i="4"/>
  <c r="U150" i="4"/>
  <c r="T150" i="4"/>
  <c r="S150" i="4"/>
  <c r="X142" i="4"/>
  <c r="W142" i="4"/>
  <c r="V142" i="4"/>
  <c r="U142" i="4"/>
  <c r="T142" i="4"/>
  <c r="S142" i="4"/>
  <c r="Y142" i="4"/>
  <c r="W134" i="4"/>
  <c r="V134" i="4"/>
  <c r="U134" i="4"/>
  <c r="T134" i="4"/>
  <c r="S134" i="4"/>
  <c r="W118" i="4"/>
  <c r="V118" i="4"/>
  <c r="T118" i="4"/>
  <c r="Y118" i="4"/>
  <c r="X118" i="4"/>
  <c r="U118" i="4"/>
  <c r="S118" i="4"/>
  <c r="V110" i="4"/>
  <c r="U110" i="4"/>
  <c r="W110" i="4"/>
  <c r="S110" i="4"/>
  <c r="T110" i="4"/>
  <c r="T102" i="4"/>
  <c r="Y102" i="4"/>
  <c r="X102" i="4"/>
  <c r="W102" i="4"/>
  <c r="V102" i="4"/>
  <c r="U102" i="4"/>
  <c r="S102" i="4"/>
  <c r="V54" i="4"/>
  <c r="W54" i="4"/>
  <c r="U54" i="4"/>
  <c r="T54" i="4"/>
  <c r="S54" i="4"/>
  <c r="V22" i="4"/>
  <c r="U22" i="4"/>
  <c r="T22" i="4"/>
  <c r="W22" i="4"/>
  <c r="X22" i="4"/>
  <c r="S22" i="4"/>
  <c r="W157" i="4"/>
  <c r="V157" i="4"/>
  <c r="U157" i="4"/>
  <c r="T157" i="4"/>
  <c r="S157" i="4"/>
  <c r="U149" i="4"/>
  <c r="T149" i="4"/>
  <c r="S149" i="4"/>
  <c r="Y141" i="4"/>
  <c r="X141" i="4"/>
  <c r="V141" i="4"/>
  <c r="U141" i="4"/>
  <c r="T141" i="4"/>
  <c r="W141" i="4"/>
  <c r="S141" i="4"/>
  <c r="U133" i="4"/>
  <c r="T133" i="4"/>
  <c r="V133" i="4"/>
  <c r="S133" i="4"/>
  <c r="T125" i="4"/>
  <c r="X125" i="4"/>
  <c r="W125" i="4"/>
  <c r="V125" i="4"/>
  <c r="S125" i="4"/>
  <c r="U125" i="4"/>
  <c r="U117" i="4"/>
  <c r="T117" i="4"/>
  <c r="Y117" i="4"/>
  <c r="X117" i="4"/>
  <c r="W117" i="4"/>
  <c r="S117" i="4"/>
  <c r="V117" i="4"/>
  <c r="V109" i="4"/>
  <c r="U109" i="4"/>
  <c r="T109" i="4"/>
  <c r="S109" i="4"/>
  <c r="Y101" i="4"/>
  <c r="W101" i="4"/>
  <c r="V101" i="4"/>
  <c r="U101" i="4"/>
  <c r="T101" i="4"/>
  <c r="X101" i="4"/>
  <c r="S101" i="4"/>
  <c r="V93" i="4"/>
  <c r="U93" i="4"/>
  <c r="S93" i="4"/>
  <c r="T93" i="4"/>
  <c r="U85" i="4"/>
  <c r="T85" i="4"/>
  <c r="X85" i="4"/>
  <c r="W85" i="4"/>
  <c r="S85" i="4"/>
  <c r="V85" i="4"/>
  <c r="V77" i="4"/>
  <c r="Y77" i="4"/>
  <c r="X77" i="4"/>
  <c r="U77" i="4"/>
  <c r="W77" i="4"/>
  <c r="T77" i="4"/>
  <c r="S77" i="4"/>
  <c r="V69" i="4"/>
  <c r="U69" i="4"/>
  <c r="T69" i="4"/>
  <c r="S69" i="4"/>
  <c r="T61" i="4"/>
  <c r="S61" i="4"/>
  <c r="W53" i="4"/>
  <c r="V53" i="4"/>
  <c r="U53" i="4"/>
  <c r="T53" i="4"/>
  <c r="S53" i="4"/>
  <c r="X45" i="4"/>
  <c r="U45" i="4"/>
  <c r="S45" i="4"/>
  <c r="T45" i="4"/>
  <c r="W45" i="4"/>
  <c r="V45" i="4"/>
  <c r="V37" i="4"/>
  <c r="U37" i="4"/>
  <c r="T37" i="4"/>
  <c r="S37" i="4"/>
  <c r="X21" i="4"/>
  <c r="S21" i="4"/>
  <c r="W21" i="4"/>
  <c r="T21" i="4"/>
  <c r="V21" i="4"/>
  <c r="U21" i="4"/>
  <c r="T13" i="4"/>
  <c r="S13" i="4"/>
  <c r="U13" i="4"/>
  <c r="W158" i="4"/>
  <c r="V158" i="4"/>
  <c r="T158" i="4"/>
  <c r="X158" i="4"/>
  <c r="U158" i="4"/>
  <c r="S158" i="4"/>
  <c r="U46" i="4"/>
  <c r="T46" i="4"/>
  <c r="Y46" i="4"/>
  <c r="S46" i="4"/>
  <c r="X46" i="4"/>
  <c r="W46" i="4"/>
  <c r="V46" i="4"/>
  <c r="W165" i="4"/>
  <c r="V165" i="4"/>
  <c r="U165" i="4"/>
  <c r="T165" i="4"/>
  <c r="S165" i="4"/>
  <c r="X170" i="4"/>
  <c r="W170" i="4"/>
  <c r="V170" i="4"/>
  <c r="U170" i="4"/>
  <c r="Y170" i="4"/>
  <c r="T170" i="4"/>
  <c r="S170" i="4"/>
  <c r="Y162" i="4"/>
  <c r="W162" i="4"/>
  <c r="V162" i="4"/>
  <c r="U162" i="4"/>
  <c r="T162" i="4"/>
  <c r="X162" i="4"/>
  <c r="S162" i="4"/>
  <c r="V154" i="4"/>
  <c r="U154" i="4"/>
  <c r="T154" i="4"/>
  <c r="S154" i="4"/>
  <c r="T146" i="4"/>
  <c r="S146" i="4"/>
  <c r="X138" i="4"/>
  <c r="V138" i="4"/>
  <c r="U138" i="4"/>
  <c r="T138" i="4"/>
  <c r="W138" i="4"/>
  <c r="S138" i="4"/>
  <c r="Y130" i="4"/>
  <c r="X130" i="4"/>
  <c r="V130" i="4"/>
  <c r="U130" i="4"/>
  <c r="T130" i="4"/>
  <c r="W130" i="4"/>
  <c r="S130" i="4"/>
  <c r="W122" i="4"/>
  <c r="U122" i="4"/>
  <c r="T122" i="4"/>
  <c r="V122" i="4"/>
  <c r="S122" i="4"/>
  <c r="U114" i="4"/>
  <c r="T114" i="4"/>
  <c r="X114" i="4"/>
  <c r="W114" i="4"/>
  <c r="V114" i="4"/>
  <c r="S114" i="4"/>
  <c r="U106" i="4"/>
  <c r="T106" i="4"/>
  <c r="S106" i="4"/>
  <c r="W98" i="4"/>
  <c r="V98" i="4"/>
  <c r="U98" i="4"/>
  <c r="T98" i="4"/>
  <c r="X98" i="4"/>
  <c r="S98" i="4"/>
  <c r="Y90" i="4"/>
  <c r="W90" i="4"/>
  <c r="V90" i="4"/>
  <c r="U90" i="4"/>
  <c r="T90" i="4"/>
  <c r="X90" i="4"/>
  <c r="S90" i="4"/>
  <c r="V82" i="4"/>
  <c r="U82" i="4"/>
  <c r="T82" i="4"/>
  <c r="W82" i="4"/>
  <c r="S82" i="4"/>
  <c r="V74" i="4"/>
  <c r="X74" i="4"/>
  <c r="U74" i="4"/>
  <c r="T74" i="4"/>
  <c r="W74" i="4"/>
  <c r="S74" i="4"/>
  <c r="U66" i="4"/>
  <c r="T66" i="4"/>
  <c r="S66" i="4"/>
  <c r="X58" i="4"/>
  <c r="W58" i="4"/>
  <c r="V58" i="4"/>
  <c r="S58" i="4"/>
  <c r="U58" i="4"/>
  <c r="Y58" i="4"/>
  <c r="T58" i="4"/>
  <c r="T50" i="4"/>
  <c r="S50" i="4"/>
  <c r="V50" i="4"/>
  <c r="U50" i="4"/>
  <c r="W42" i="4"/>
  <c r="S42" i="4"/>
  <c r="V42" i="4"/>
  <c r="T42" i="4"/>
  <c r="U42" i="4"/>
  <c r="S34" i="4"/>
  <c r="U34" i="4"/>
  <c r="T34" i="4"/>
  <c r="X26" i="4"/>
  <c r="W26" i="4"/>
  <c r="V26" i="4"/>
  <c r="S26" i="4"/>
  <c r="Y26" i="4"/>
  <c r="U26" i="4"/>
  <c r="T26" i="4"/>
  <c r="W18" i="4"/>
  <c r="V18" i="4"/>
  <c r="U18" i="4"/>
  <c r="S18" i="4"/>
  <c r="T18" i="4"/>
  <c r="S10" i="4"/>
  <c r="T10" i="4"/>
  <c r="V164" i="4"/>
  <c r="U164" i="4"/>
  <c r="S164" i="4"/>
  <c r="T164" i="4"/>
  <c r="W164" i="4"/>
  <c r="S14" i="4"/>
  <c r="U14" i="4"/>
  <c r="T14" i="4"/>
  <c r="W167" i="4"/>
  <c r="V167" i="4"/>
  <c r="U167" i="4"/>
  <c r="T167" i="4"/>
  <c r="X167" i="4"/>
  <c r="S167" i="4"/>
  <c r="W159" i="4"/>
  <c r="V159" i="4"/>
  <c r="U159" i="4"/>
  <c r="T159" i="4"/>
  <c r="S159" i="4"/>
  <c r="X159" i="4"/>
  <c r="U151" i="4"/>
  <c r="S151" i="4"/>
  <c r="T151" i="4"/>
  <c r="V135" i="4"/>
  <c r="U135" i="4"/>
  <c r="T135" i="4"/>
  <c r="S135" i="4"/>
  <c r="W135" i="4"/>
  <c r="W127" i="4"/>
  <c r="V127" i="4"/>
  <c r="U127" i="4"/>
  <c r="T127" i="4"/>
  <c r="X127" i="4"/>
  <c r="S127" i="4"/>
  <c r="V119" i="4"/>
  <c r="U119" i="4"/>
  <c r="T119" i="4"/>
  <c r="S119" i="4"/>
  <c r="W111" i="4"/>
  <c r="V111" i="4"/>
  <c r="U111" i="4"/>
  <c r="T111" i="4"/>
  <c r="S111" i="4"/>
  <c r="T103" i="4"/>
  <c r="S103" i="4"/>
  <c r="W95" i="4"/>
  <c r="V95" i="4"/>
  <c r="T95" i="4"/>
  <c r="U95" i="4"/>
  <c r="S95" i="4"/>
  <c r="X87" i="4"/>
  <c r="W87" i="4"/>
  <c r="V87" i="4"/>
  <c r="U87" i="4"/>
  <c r="S87" i="4"/>
  <c r="T87" i="4"/>
  <c r="V79" i="4"/>
  <c r="U79" i="4"/>
  <c r="T79" i="4"/>
  <c r="S79" i="4"/>
  <c r="W71" i="4"/>
  <c r="V71" i="4"/>
  <c r="U71" i="4"/>
  <c r="S71" i="4"/>
  <c r="T71" i="4"/>
  <c r="T63" i="4"/>
  <c r="S63" i="4"/>
  <c r="W55" i="4"/>
  <c r="V55" i="4"/>
  <c r="U55" i="4"/>
  <c r="T55" i="4"/>
  <c r="S55" i="4"/>
  <c r="X55" i="4"/>
  <c r="W47" i="4"/>
  <c r="V47" i="4"/>
  <c r="U47" i="4"/>
  <c r="T47" i="4"/>
  <c r="S47" i="4"/>
  <c r="Y47" i="4"/>
  <c r="X47" i="4"/>
  <c r="S39" i="4"/>
  <c r="T39" i="4"/>
  <c r="V39" i="4"/>
  <c r="U39" i="4"/>
  <c r="T31" i="4"/>
  <c r="S31" i="4"/>
  <c r="X23" i="4"/>
  <c r="W23" i="4"/>
  <c r="V23" i="4"/>
  <c r="T23" i="4"/>
  <c r="S23" i="4"/>
  <c r="U23" i="4"/>
  <c r="V15" i="4"/>
  <c r="U15" i="4"/>
  <c r="T15" i="4"/>
  <c r="S15" i="4"/>
  <c r="X100" i="4"/>
  <c r="W100" i="4"/>
  <c r="U100" i="4"/>
  <c r="T100" i="4"/>
  <c r="S100" i="4"/>
  <c r="Y100" i="4"/>
  <c r="V100" i="4"/>
  <c r="W60" i="4"/>
  <c r="T60" i="4"/>
  <c r="Y60" i="4"/>
  <c r="S60" i="4"/>
  <c r="X60" i="4"/>
  <c r="V60" i="4"/>
  <c r="U60" i="4"/>
  <c r="W44" i="4"/>
  <c r="V44" i="4"/>
  <c r="U44" i="4"/>
  <c r="X44" i="4"/>
  <c r="T44" i="4"/>
  <c r="S44" i="4"/>
  <c r="S36" i="4"/>
  <c r="U36" i="4"/>
  <c r="T36" i="4"/>
  <c r="W20" i="4"/>
  <c r="V20" i="4"/>
  <c r="U20" i="4"/>
  <c r="S20" i="4"/>
  <c r="T20" i="4"/>
  <c r="U12" i="4"/>
  <c r="T12" i="4"/>
  <c r="S12" i="4"/>
  <c r="W172" i="4"/>
  <c r="V172" i="4"/>
  <c r="T172" i="4"/>
  <c r="Y172" i="4"/>
  <c r="S172" i="4"/>
  <c r="X172" i="4"/>
  <c r="U172" i="4"/>
  <c r="W140" i="4"/>
  <c r="V140" i="4"/>
  <c r="T140" i="4"/>
  <c r="Y140" i="4"/>
  <c r="X140" i="4"/>
  <c r="S140" i="4"/>
  <c r="U140" i="4"/>
  <c r="U132" i="4"/>
  <c r="T132" i="4"/>
  <c r="S132" i="4"/>
  <c r="V132" i="4"/>
  <c r="W124" i="4"/>
  <c r="U124" i="4"/>
  <c r="T124" i="4"/>
  <c r="S124" i="4"/>
  <c r="V124" i="4"/>
  <c r="X116" i="4"/>
  <c r="W116" i="4"/>
  <c r="V116" i="4"/>
  <c r="U116" i="4"/>
  <c r="T116" i="4"/>
  <c r="S116" i="4"/>
  <c r="Y116" i="4"/>
  <c r="T108" i="4"/>
  <c r="V108" i="4"/>
  <c r="S108" i="4"/>
  <c r="U108" i="4"/>
  <c r="V92" i="4"/>
  <c r="U92" i="4"/>
  <c r="T92" i="4"/>
  <c r="S92" i="4"/>
  <c r="V84" i="4"/>
  <c r="U84" i="4"/>
  <c r="T84" i="4"/>
  <c r="S84" i="4"/>
  <c r="W84" i="4"/>
  <c r="T76" i="4"/>
  <c r="Y76" i="4"/>
  <c r="X76" i="4"/>
  <c r="W76" i="4"/>
  <c r="V76" i="4"/>
  <c r="S76" i="4"/>
  <c r="U76" i="4"/>
  <c r="U68" i="4"/>
  <c r="V68" i="4"/>
  <c r="S68" i="4"/>
  <c r="T68" i="4"/>
  <c r="V52" i="4"/>
  <c r="T52" i="4"/>
  <c r="W52" i="4"/>
  <c r="S52" i="4"/>
  <c r="U52" i="4"/>
  <c r="X169" i="4"/>
  <c r="W169" i="4"/>
  <c r="U169" i="4"/>
  <c r="T169" i="4"/>
  <c r="V169" i="4"/>
  <c r="S169" i="4"/>
  <c r="X161" i="4"/>
  <c r="W161" i="4"/>
  <c r="U161" i="4"/>
  <c r="T161" i="4"/>
  <c r="Y161" i="4"/>
  <c r="V161" i="4"/>
  <c r="S161" i="4"/>
  <c r="V153" i="4"/>
  <c r="U153" i="4"/>
  <c r="T153" i="4"/>
  <c r="S153" i="4"/>
  <c r="V137" i="4"/>
  <c r="U137" i="4"/>
  <c r="X137" i="4"/>
  <c r="W137" i="4"/>
  <c r="T137" i="4"/>
  <c r="S137" i="4"/>
  <c r="W129" i="4"/>
  <c r="V129" i="4"/>
  <c r="T129" i="4"/>
  <c r="Y129" i="4"/>
  <c r="U129" i="4"/>
  <c r="S129" i="4"/>
  <c r="X129" i="4"/>
  <c r="V121" i="4"/>
  <c r="U121" i="4"/>
  <c r="T121" i="4"/>
  <c r="S121" i="4"/>
  <c r="W113" i="4"/>
  <c r="V113" i="4"/>
  <c r="U113" i="4"/>
  <c r="T113" i="4"/>
  <c r="X113" i="4"/>
  <c r="S113" i="4"/>
  <c r="U105" i="4"/>
  <c r="S105" i="4"/>
  <c r="T105" i="4"/>
  <c r="W97" i="4"/>
  <c r="V97" i="4"/>
  <c r="T97" i="4"/>
  <c r="U97" i="4"/>
  <c r="X97" i="4"/>
  <c r="S97" i="4"/>
  <c r="X89" i="4"/>
  <c r="W89" i="4"/>
  <c r="U89" i="4"/>
  <c r="T89" i="4"/>
  <c r="V89" i="4"/>
  <c r="Y89" i="4"/>
  <c r="S89" i="4"/>
  <c r="T81" i="4"/>
  <c r="V81" i="4"/>
  <c r="U81" i="4"/>
  <c r="S81" i="4"/>
  <c r="X73" i="4"/>
  <c r="W73" i="4"/>
  <c r="V73" i="4"/>
  <c r="U73" i="4"/>
  <c r="T73" i="4"/>
  <c r="S73" i="4"/>
  <c r="T65" i="4"/>
  <c r="S65" i="4"/>
  <c r="U65" i="4"/>
  <c r="X57" i="4"/>
  <c r="U57" i="4"/>
  <c r="T57" i="4"/>
  <c r="S57" i="4"/>
  <c r="W57" i="4"/>
  <c r="V57" i="4"/>
  <c r="S49" i="4"/>
  <c r="V49" i="4"/>
  <c r="U49" i="4"/>
  <c r="T49" i="4"/>
  <c r="T41" i="4"/>
  <c r="S41" i="4"/>
  <c r="W41" i="4"/>
  <c r="V41" i="4"/>
  <c r="U41" i="4"/>
  <c r="S33" i="4"/>
  <c r="T33" i="4"/>
  <c r="V25" i="4"/>
  <c r="U25" i="4"/>
  <c r="S25" i="4"/>
  <c r="T25" i="4"/>
  <c r="W25" i="4"/>
  <c r="X25" i="4"/>
  <c r="Y25" i="4"/>
  <c r="S17" i="4"/>
  <c r="U17" i="4"/>
  <c r="V17" i="4"/>
  <c r="T17" i="4"/>
  <c r="S9" i="4"/>
  <c r="T9" i="4"/>
  <c r="M28" i="5"/>
  <c r="E136" i="4"/>
  <c r="AT136" i="4" s="1"/>
  <c r="E104" i="4"/>
  <c r="AW104" i="4" s="1"/>
  <c r="E48" i="4"/>
  <c r="AM48" i="4" s="1"/>
  <c r="E117" i="4"/>
  <c r="AP117" i="4" s="1"/>
  <c r="E143" i="4"/>
  <c r="AN143" i="4" s="1"/>
  <c r="E135" i="4"/>
  <c r="AV135" i="4" s="1"/>
  <c r="E127" i="4"/>
  <c r="AF127" i="4" s="1"/>
  <c r="E103" i="4"/>
  <c r="AK103" i="4" s="1"/>
  <c r="E79" i="4"/>
  <c r="AX79" i="4" s="1"/>
  <c r="E47" i="4"/>
  <c r="AR47" i="4" s="1"/>
  <c r="E31" i="4"/>
  <c r="AV31" i="4" s="1"/>
  <c r="E15" i="4"/>
  <c r="AS15" i="4" s="1"/>
  <c r="E7" i="4"/>
  <c r="AO7" i="4" s="1"/>
  <c r="E8" i="4"/>
  <c r="AR8" i="4" s="1"/>
  <c r="E106" i="4"/>
  <c r="AX106" i="4" s="1"/>
  <c r="E66" i="4"/>
  <c r="AW66" i="4" s="1"/>
  <c r="E164" i="4"/>
  <c r="AP164" i="4" s="1"/>
  <c r="E100" i="4"/>
  <c r="E84" i="4"/>
  <c r="AQ84" i="4" s="1"/>
  <c r="E68" i="4"/>
  <c r="AG68" i="4" s="1"/>
  <c r="E52" i="4"/>
  <c r="AR52" i="4" s="1"/>
  <c r="E88" i="4"/>
  <c r="AL88" i="4" s="1"/>
  <c r="BH88" i="4" s="1"/>
  <c r="E64" i="4"/>
  <c r="AD64" i="4" s="1"/>
  <c r="E85" i="4"/>
  <c r="AD85" i="4" s="1"/>
  <c r="E21" i="4"/>
  <c r="AE21" i="4" s="1"/>
  <c r="E98" i="4"/>
  <c r="AQ98" i="4" s="1"/>
  <c r="E148" i="4"/>
  <c r="AV148" i="4" s="1"/>
  <c r="E169" i="4"/>
  <c r="AH169" i="4" s="1"/>
  <c r="E105" i="4"/>
  <c r="AJ105" i="4" s="1"/>
  <c r="E49" i="4"/>
  <c r="AL49" i="4" s="1"/>
  <c r="E41" i="4"/>
  <c r="AW41" i="4" s="1"/>
  <c r="E9" i="4"/>
  <c r="AC9" i="4" s="1"/>
  <c r="E154" i="4"/>
  <c r="AR154" i="4" s="1"/>
  <c r="E34" i="4"/>
  <c r="AM34" i="4" s="1"/>
  <c r="E26" i="4"/>
  <c r="AN26" i="4" s="1"/>
  <c r="E166" i="4"/>
  <c r="AR166" i="4" s="1"/>
  <c r="E158" i="4"/>
  <c r="AI158" i="4" s="1"/>
  <c r="E150" i="4"/>
  <c r="AN150" i="4" s="1"/>
  <c r="E134" i="4"/>
  <c r="AI134" i="4" s="1"/>
  <c r="E126" i="4"/>
  <c r="AG126" i="4" s="1"/>
  <c r="E118" i="4"/>
  <c r="AI118" i="4" s="1"/>
  <c r="E102" i="4"/>
  <c r="AT102" i="4" s="1"/>
  <c r="E86" i="4"/>
  <c r="AH86" i="4" s="1"/>
  <c r="E70" i="4"/>
  <c r="AU70" i="4" s="1"/>
  <c r="E54" i="4"/>
  <c r="AX54" i="4" s="1"/>
  <c r="E46" i="4"/>
  <c r="AJ46" i="4" s="1"/>
  <c r="E38" i="4"/>
  <c r="AN38" i="4" s="1"/>
  <c r="E22" i="4"/>
  <c r="AC22" i="4" s="1"/>
  <c r="E6" i="4"/>
  <c r="AR6" i="4" s="1"/>
  <c r="E168" i="4"/>
  <c r="AU168" i="4" s="1"/>
  <c r="E144" i="4"/>
  <c r="AH144" i="4" s="1"/>
  <c r="E32" i="4"/>
  <c r="AG32" i="4" s="1"/>
  <c r="E165" i="4"/>
  <c r="BF165" i="4" s="1"/>
  <c r="E69" i="4"/>
  <c r="AW69" i="4" s="1"/>
  <c r="E162" i="4"/>
  <c r="AS162" i="4" s="1"/>
  <c r="E146" i="4"/>
  <c r="AM146" i="4" s="1"/>
  <c r="E10" i="4"/>
  <c r="AC10" i="4" s="1"/>
  <c r="E171" i="4"/>
  <c r="AS171" i="4" s="1"/>
  <c r="E163" i="4"/>
  <c r="AN163" i="4" s="1"/>
  <c r="E139" i="4"/>
  <c r="AS139" i="4" s="1"/>
  <c r="E107" i="4"/>
  <c r="AG107" i="4" s="1"/>
  <c r="E91" i="4"/>
  <c r="AJ91" i="4" s="1"/>
  <c r="E83" i="4"/>
  <c r="AS83" i="4" s="1"/>
  <c r="E67" i="4"/>
  <c r="AT67" i="4" s="1"/>
  <c r="E51" i="4"/>
  <c r="AR51" i="4" s="1"/>
  <c r="E27" i="4"/>
  <c r="AT84" i="4"/>
  <c r="B76" i="4"/>
  <c r="E76" i="4"/>
  <c r="B65" i="4"/>
  <c r="E65" i="4"/>
  <c r="B33" i="4"/>
  <c r="E33" i="4"/>
  <c r="B25" i="4"/>
  <c r="E25" i="4"/>
  <c r="B17" i="4"/>
  <c r="E17" i="4"/>
  <c r="B124" i="4"/>
  <c r="E124" i="4"/>
  <c r="B44" i="4"/>
  <c r="E44" i="4"/>
  <c r="B36" i="4"/>
  <c r="E36" i="4"/>
  <c r="B20" i="4"/>
  <c r="E20" i="4"/>
  <c r="B145" i="4"/>
  <c r="E145" i="4"/>
  <c r="B172" i="4"/>
  <c r="E172" i="4"/>
  <c r="B156" i="4"/>
  <c r="E156" i="4"/>
  <c r="B28" i="4"/>
  <c r="E28" i="4"/>
  <c r="B97" i="4"/>
  <c r="E97" i="4"/>
  <c r="B57" i="4"/>
  <c r="E57" i="4"/>
  <c r="B110" i="4"/>
  <c r="E110" i="4"/>
  <c r="B94" i="4"/>
  <c r="E94" i="4"/>
  <c r="B62" i="4"/>
  <c r="E62" i="4"/>
  <c r="B75" i="4"/>
  <c r="E75" i="4"/>
  <c r="B59" i="4"/>
  <c r="E59" i="4"/>
  <c r="B43" i="4"/>
  <c r="E43" i="4"/>
  <c r="B35" i="4"/>
  <c r="E35" i="4"/>
  <c r="B19" i="4"/>
  <c r="E19" i="4"/>
  <c r="B11" i="4"/>
  <c r="E11" i="4"/>
  <c r="B160" i="4"/>
  <c r="E160" i="4"/>
  <c r="B152" i="4"/>
  <c r="E152" i="4"/>
  <c r="AC136" i="4"/>
  <c r="B128" i="4"/>
  <c r="E128" i="4"/>
  <c r="B120" i="4"/>
  <c r="E120" i="4"/>
  <c r="B112" i="4"/>
  <c r="E112" i="4"/>
  <c r="B96" i="4"/>
  <c r="E96" i="4"/>
  <c r="B80" i="4"/>
  <c r="E80" i="4"/>
  <c r="B72" i="4"/>
  <c r="E72" i="4"/>
  <c r="B56" i="4"/>
  <c r="E56" i="4"/>
  <c r="B40" i="4"/>
  <c r="E40" i="4"/>
  <c r="B24" i="4"/>
  <c r="E24" i="4"/>
  <c r="B16" i="4"/>
  <c r="E16" i="4"/>
  <c r="B116" i="4"/>
  <c r="E116" i="4"/>
  <c r="B92" i="4"/>
  <c r="E92" i="4"/>
  <c r="B12" i="4"/>
  <c r="E12" i="4"/>
  <c r="B153" i="4"/>
  <c r="E153" i="4"/>
  <c r="B129" i="4"/>
  <c r="E129" i="4"/>
  <c r="B121" i="4"/>
  <c r="E121" i="4"/>
  <c r="B113" i="4"/>
  <c r="E113" i="4"/>
  <c r="B89" i="4"/>
  <c r="E89" i="4"/>
  <c r="B73" i="4"/>
  <c r="E73" i="4"/>
  <c r="B78" i="4"/>
  <c r="E78" i="4"/>
  <c r="B30" i="4"/>
  <c r="E30" i="4"/>
  <c r="B14" i="4"/>
  <c r="E14" i="4"/>
  <c r="B147" i="4"/>
  <c r="E147" i="4"/>
  <c r="B131" i="4"/>
  <c r="E131" i="4"/>
  <c r="B157" i="4"/>
  <c r="E157" i="4"/>
  <c r="B149" i="4"/>
  <c r="E149" i="4"/>
  <c r="B141" i="4"/>
  <c r="E141" i="4"/>
  <c r="B133" i="4"/>
  <c r="E133" i="4"/>
  <c r="B125" i="4"/>
  <c r="E125" i="4"/>
  <c r="B109" i="4"/>
  <c r="E109" i="4"/>
  <c r="B101" i="4"/>
  <c r="E101" i="4"/>
  <c r="B93" i="4"/>
  <c r="E93" i="4"/>
  <c r="B77" i="4"/>
  <c r="E77" i="4"/>
  <c r="B61" i="4"/>
  <c r="E61" i="4"/>
  <c r="B53" i="4"/>
  <c r="E53" i="4"/>
  <c r="B45" i="4"/>
  <c r="E45" i="4"/>
  <c r="B37" i="4"/>
  <c r="E37" i="4"/>
  <c r="B29" i="4"/>
  <c r="E29" i="4"/>
  <c r="AS21" i="4"/>
  <c r="AJ21" i="4"/>
  <c r="B13" i="4"/>
  <c r="E13" i="4"/>
  <c r="B18" i="4"/>
  <c r="E18" i="4"/>
  <c r="AW10" i="4"/>
  <c r="AI148" i="4"/>
  <c r="B140" i="4"/>
  <c r="E140" i="4"/>
  <c r="B132" i="4"/>
  <c r="E132" i="4"/>
  <c r="B108" i="4"/>
  <c r="E108" i="4"/>
  <c r="B60" i="4"/>
  <c r="E60" i="4"/>
  <c r="B161" i="4"/>
  <c r="E161" i="4"/>
  <c r="B137" i="4"/>
  <c r="E137" i="4"/>
  <c r="B81" i="4"/>
  <c r="E81" i="4"/>
  <c r="B142" i="4"/>
  <c r="E142" i="4"/>
  <c r="AC102" i="4"/>
  <c r="AJ102" i="4"/>
  <c r="AG102" i="4"/>
  <c r="AE6" i="4"/>
  <c r="AF6" i="4"/>
  <c r="B155" i="4"/>
  <c r="E155" i="4"/>
  <c r="B123" i="4"/>
  <c r="E123" i="4"/>
  <c r="B115" i="4"/>
  <c r="E115" i="4"/>
  <c r="B99" i="4"/>
  <c r="E99" i="4"/>
  <c r="B170" i="4"/>
  <c r="E170" i="4"/>
  <c r="AO154" i="4"/>
  <c r="AP154" i="4"/>
  <c r="BR154" i="4"/>
  <c r="BM154" i="4"/>
  <c r="BD154" i="4"/>
  <c r="BQ154" i="4"/>
  <c r="B138" i="4"/>
  <c r="E138" i="4"/>
  <c r="B130" i="4"/>
  <c r="E130" i="4"/>
  <c r="B122" i="4"/>
  <c r="E122" i="4"/>
  <c r="B114" i="4"/>
  <c r="E114" i="4"/>
  <c r="AH98" i="4"/>
  <c r="AX98" i="4"/>
  <c r="B90" i="4"/>
  <c r="E90" i="4"/>
  <c r="B82" i="4"/>
  <c r="E82" i="4"/>
  <c r="B74" i="4"/>
  <c r="E74" i="4"/>
  <c r="B58" i="4"/>
  <c r="E58" i="4"/>
  <c r="B50" i="4"/>
  <c r="E50" i="4"/>
  <c r="B42" i="4"/>
  <c r="E42" i="4"/>
  <c r="AV34" i="4"/>
  <c r="B5" i="4"/>
  <c r="E5" i="4"/>
  <c r="B167" i="4"/>
  <c r="E167" i="4"/>
  <c r="B159" i="4"/>
  <c r="E159" i="4"/>
  <c r="B151" i="4"/>
  <c r="E151" i="4"/>
  <c r="B119" i="4"/>
  <c r="E119" i="4"/>
  <c r="B111" i="4"/>
  <c r="E111" i="4"/>
  <c r="B95" i="4"/>
  <c r="E95" i="4"/>
  <c r="B87" i="4"/>
  <c r="E87" i="4"/>
  <c r="AR79" i="4"/>
  <c r="AQ79" i="4"/>
  <c r="AH79" i="4"/>
  <c r="AF79" i="4"/>
  <c r="AN79" i="4"/>
  <c r="AE79" i="4"/>
  <c r="AL79" i="4"/>
  <c r="AS79" i="4"/>
  <c r="AP79" i="4"/>
  <c r="AK79" i="4"/>
  <c r="AV79" i="4"/>
  <c r="AT79" i="4"/>
  <c r="B71" i="4"/>
  <c r="E71" i="4"/>
  <c r="B63" i="4"/>
  <c r="E63" i="4"/>
  <c r="B55" i="4"/>
  <c r="E55" i="4"/>
  <c r="AU47" i="4"/>
  <c r="AT47" i="4"/>
  <c r="AI47" i="4"/>
  <c r="AX47" i="4"/>
  <c r="B39" i="4"/>
  <c r="E39" i="4"/>
  <c r="B23" i="4"/>
  <c r="E23" i="4"/>
  <c r="B158" i="4"/>
  <c r="B22" i="4"/>
  <c r="B27" i="4"/>
  <c r="B144" i="4"/>
  <c r="B64" i="4"/>
  <c r="B48" i="4"/>
  <c r="B32" i="4"/>
  <c r="B126" i="4"/>
  <c r="B163" i="4"/>
  <c r="B168" i="4"/>
  <c r="A88" i="4"/>
  <c r="L88" i="4" s="1"/>
  <c r="Q88" i="4" s="1"/>
  <c r="B88" i="4"/>
  <c r="B162" i="4"/>
  <c r="B98" i="4"/>
  <c r="B49" i="4"/>
  <c r="B166" i="4"/>
  <c r="B134" i="4"/>
  <c r="B102" i="4"/>
  <c r="B6" i="4"/>
  <c r="B51" i="4"/>
  <c r="B146" i="4"/>
  <c r="B66" i="4"/>
  <c r="B103" i="4"/>
  <c r="B86" i="4"/>
  <c r="B54" i="4"/>
  <c r="B38" i="4"/>
  <c r="B171" i="4"/>
  <c r="B107" i="4"/>
  <c r="B165" i="4"/>
  <c r="B117" i="4"/>
  <c r="B154" i="4"/>
  <c r="B106" i="4"/>
  <c r="B26" i="4"/>
  <c r="B10" i="4"/>
  <c r="B143" i="4"/>
  <c r="B164" i="4"/>
  <c r="B148" i="4"/>
  <c r="B100" i="4"/>
  <c r="B84" i="4"/>
  <c r="B68" i="4"/>
  <c r="B52" i="4"/>
  <c r="B46" i="4"/>
  <c r="B83" i="4"/>
  <c r="B67" i="4"/>
  <c r="B136" i="4"/>
  <c r="B104" i="4"/>
  <c r="B8" i="4"/>
  <c r="B34" i="4"/>
  <c r="B135" i="4"/>
  <c r="B7" i="4"/>
  <c r="B150" i="4"/>
  <c r="B118" i="4"/>
  <c r="B70" i="4"/>
  <c r="B139" i="4"/>
  <c r="B91" i="4"/>
  <c r="B85" i="4"/>
  <c r="B69" i="4"/>
  <c r="B21" i="4"/>
  <c r="B127" i="4"/>
  <c r="B79" i="4"/>
  <c r="B47" i="4"/>
  <c r="B31" i="4"/>
  <c r="B15" i="4"/>
  <c r="B169" i="4"/>
  <c r="B105" i="4"/>
  <c r="B41" i="4"/>
  <c r="B9" i="4"/>
  <c r="A78" i="4"/>
  <c r="L78" i="4" s="1"/>
  <c r="Q78" i="4" s="1"/>
  <c r="A131" i="4"/>
  <c r="L131" i="4" s="1"/>
  <c r="Q131" i="4" s="1"/>
  <c r="A62" i="4"/>
  <c r="M62" i="4" s="1"/>
  <c r="A115" i="4"/>
  <c r="L115" i="4" s="1"/>
  <c r="Q115" i="4" s="1"/>
  <c r="A56" i="4"/>
  <c r="M56" i="4" s="1"/>
  <c r="A114" i="4"/>
  <c r="M114" i="4" s="1"/>
  <c r="A50" i="4"/>
  <c r="I50" i="4" s="1"/>
  <c r="A18" i="4"/>
  <c r="M18" i="4" s="1"/>
  <c r="A167" i="4"/>
  <c r="K167" i="4" s="1"/>
  <c r="A151" i="4"/>
  <c r="M151" i="4" s="1"/>
  <c r="A119" i="4"/>
  <c r="M119" i="4" s="1"/>
  <c r="A87" i="4"/>
  <c r="J87" i="4" s="1"/>
  <c r="A71" i="4"/>
  <c r="M71" i="4" s="1"/>
  <c r="A55" i="4"/>
  <c r="I55" i="4" s="1"/>
  <c r="A23" i="4"/>
  <c r="A172" i="4"/>
  <c r="J172" i="4" s="1"/>
  <c r="A156" i="4"/>
  <c r="M156" i="4" s="1"/>
  <c r="A140" i="4"/>
  <c r="L140" i="4" s="1"/>
  <c r="Q140" i="4" s="1"/>
  <c r="A124" i="4"/>
  <c r="M124" i="4" s="1"/>
  <c r="A108" i="4"/>
  <c r="I108" i="4" s="1"/>
  <c r="A92" i="4"/>
  <c r="A76" i="4"/>
  <c r="M76" i="4" s="1"/>
  <c r="A60" i="4"/>
  <c r="A44" i="4"/>
  <c r="K44" i="4" s="1"/>
  <c r="A28" i="4"/>
  <c r="J28" i="4" s="1"/>
  <c r="A161" i="4"/>
  <c r="M161" i="4" s="1"/>
  <c r="A145" i="4"/>
  <c r="I145" i="4" s="1"/>
  <c r="A113" i="4"/>
  <c r="L113" i="4" s="1"/>
  <c r="Q113" i="4" s="1"/>
  <c r="A97" i="4"/>
  <c r="A81" i="4"/>
  <c r="A65" i="4"/>
  <c r="K65" i="4" s="1"/>
  <c r="A33" i="4"/>
  <c r="L33" i="4" s="1"/>
  <c r="Q33" i="4" s="1"/>
  <c r="A142" i="4"/>
  <c r="L142" i="4" s="1"/>
  <c r="Q142" i="4" s="1"/>
  <c r="A99" i="4"/>
  <c r="M99" i="4" s="1"/>
  <c r="A19" i="4"/>
  <c r="I19" i="4" s="1"/>
  <c r="A141" i="4"/>
  <c r="A109" i="4"/>
  <c r="I109" i="4" s="1"/>
  <c r="A93" i="4"/>
  <c r="I93" i="4" s="1"/>
  <c r="C77" i="4"/>
  <c r="A61" i="4"/>
  <c r="I61" i="4" s="1"/>
  <c r="C45" i="4"/>
  <c r="A123" i="4"/>
  <c r="M123" i="4" s="1"/>
  <c r="A59" i="4"/>
  <c r="M59" i="4" s="1"/>
  <c r="A128" i="4"/>
  <c r="A112" i="4"/>
  <c r="A149" i="4"/>
  <c r="A170" i="4"/>
  <c r="M170" i="4" s="1"/>
  <c r="A159" i="4"/>
  <c r="M159" i="4" s="1"/>
  <c r="A111" i="4"/>
  <c r="J111" i="4" s="1"/>
  <c r="A95" i="4"/>
  <c r="M95" i="4" s="1"/>
  <c r="A63" i="4"/>
  <c r="I63" i="4" s="1"/>
  <c r="A94" i="4"/>
  <c r="I94" i="4" s="1"/>
  <c r="A30" i="4"/>
  <c r="I30" i="4" s="1"/>
  <c r="A29" i="4"/>
  <c r="J29" i="4" s="1"/>
  <c r="A130" i="4"/>
  <c r="K130" i="4" s="1"/>
  <c r="A75" i="4"/>
  <c r="J75" i="4" s="1"/>
  <c r="A11" i="4"/>
  <c r="I11" i="4" s="1"/>
  <c r="A160" i="4"/>
  <c r="K160" i="4" s="1"/>
  <c r="A96" i="4"/>
  <c r="K96" i="4" s="1"/>
  <c r="C133" i="4"/>
  <c r="C101" i="4"/>
  <c r="C37" i="4"/>
  <c r="C5" i="4"/>
  <c r="A132" i="4"/>
  <c r="K132" i="4" s="1"/>
  <c r="A116" i="4"/>
  <c r="M116" i="4" s="1"/>
  <c r="A36" i="4"/>
  <c r="K36" i="4" s="1"/>
  <c r="A20" i="4"/>
  <c r="C14" i="4"/>
  <c r="A147" i="4"/>
  <c r="M147" i="4" s="1"/>
  <c r="A35" i="4"/>
  <c r="J35" i="4" s="1"/>
  <c r="A40" i="4"/>
  <c r="J40" i="4" s="1"/>
  <c r="A24" i="4"/>
  <c r="M24" i="4" s="1"/>
  <c r="C157" i="4"/>
  <c r="A125" i="4"/>
  <c r="I125" i="4" s="1"/>
  <c r="A13" i="4"/>
  <c r="J13" i="4" s="1"/>
  <c r="A82" i="4"/>
  <c r="I82" i="4" s="1"/>
  <c r="A155" i="4"/>
  <c r="M155" i="4" s="1"/>
  <c r="A43" i="4"/>
  <c r="L43" i="4" s="1"/>
  <c r="Q43" i="4" s="1"/>
  <c r="A80" i="4"/>
  <c r="M80" i="4" s="1"/>
  <c r="C16" i="4"/>
  <c r="A53" i="4"/>
  <c r="A138" i="4"/>
  <c r="A122" i="4"/>
  <c r="J122" i="4" s="1"/>
  <c r="A90" i="4"/>
  <c r="I90" i="4" s="1"/>
  <c r="A74" i="4"/>
  <c r="L74" i="4" s="1"/>
  <c r="Q74" i="4" s="1"/>
  <c r="A58" i="4"/>
  <c r="M58" i="4" s="1"/>
  <c r="A42" i="4"/>
  <c r="J42" i="4" s="1"/>
  <c r="A153" i="4"/>
  <c r="K153" i="4" s="1"/>
  <c r="A121" i="4"/>
  <c r="A73" i="4"/>
  <c r="A57" i="4"/>
  <c r="L57" i="4" s="1"/>
  <c r="Q57" i="4" s="1"/>
  <c r="C25" i="4"/>
  <c r="A72" i="4"/>
  <c r="M72" i="4" s="1"/>
  <c r="M29" i="4"/>
  <c r="A137" i="4"/>
  <c r="K137" i="4" s="1"/>
  <c r="A89" i="4"/>
  <c r="M89" i="4" s="1"/>
  <c r="C26" i="4"/>
  <c r="A136" i="4"/>
  <c r="K136" i="4" s="1"/>
  <c r="A143" i="4"/>
  <c r="M143" i="4" s="1"/>
  <c r="A79" i="4"/>
  <c r="A31" i="4"/>
  <c r="A15" i="4"/>
  <c r="A120" i="4"/>
  <c r="A164" i="4"/>
  <c r="A148" i="4"/>
  <c r="A100" i="4"/>
  <c r="M100" i="4" s="1"/>
  <c r="Z100" i="4" s="1"/>
  <c r="A84" i="4"/>
  <c r="M84" i="4" s="1"/>
  <c r="A68" i="4"/>
  <c r="A52" i="4"/>
  <c r="A154" i="4"/>
  <c r="K154" i="4" s="1"/>
  <c r="A106" i="4"/>
  <c r="A10" i="4"/>
  <c r="A127" i="4"/>
  <c r="M127" i="4" s="1"/>
  <c r="A47" i="4"/>
  <c r="I47" i="4" s="1"/>
  <c r="A104" i="4"/>
  <c r="A169" i="4"/>
  <c r="A105" i="4"/>
  <c r="A41" i="4"/>
  <c r="M41" i="4" s="1"/>
  <c r="C9" i="4"/>
  <c r="A146" i="4"/>
  <c r="K146" i="4" s="1"/>
  <c r="A158" i="4"/>
  <c r="C46" i="4"/>
  <c r="A67" i="4"/>
  <c r="A51" i="4"/>
  <c r="A8" i="4"/>
  <c r="L8" i="4" s="1"/>
  <c r="Q8" i="4" s="1"/>
  <c r="A162" i="4"/>
  <c r="A34" i="4"/>
  <c r="A107" i="4"/>
  <c r="A91" i="4"/>
  <c r="A27" i="4"/>
  <c r="M27" i="4" s="1"/>
  <c r="A126" i="4"/>
  <c r="I126" i="4" s="1"/>
  <c r="A163" i="4"/>
  <c r="A171" i="4"/>
  <c r="A139" i="4"/>
  <c r="L139" i="4" s="1"/>
  <c r="Q139" i="4" s="1"/>
  <c r="A168" i="4"/>
  <c r="A144" i="4"/>
  <c r="K144" i="4" s="1"/>
  <c r="A64" i="4"/>
  <c r="M64" i="4" s="1"/>
  <c r="A48" i="4"/>
  <c r="I48" i="4" s="1"/>
  <c r="C32" i="4"/>
  <c r="A83" i="4"/>
  <c r="A98" i="4"/>
  <c r="A66" i="4"/>
  <c r="A152" i="4"/>
  <c r="C165" i="4"/>
  <c r="A117" i="4"/>
  <c r="J117" i="4" s="1"/>
  <c r="A85" i="4"/>
  <c r="C69" i="4"/>
  <c r="A21" i="4"/>
  <c r="A135" i="4"/>
  <c r="A103" i="4"/>
  <c r="A7" i="4"/>
  <c r="A49" i="4"/>
  <c r="A166" i="4"/>
  <c r="A150" i="4"/>
  <c r="I150" i="4" s="1"/>
  <c r="A134" i="4"/>
  <c r="A118" i="4"/>
  <c r="A102" i="4"/>
  <c r="J102" i="4" s="1"/>
  <c r="A86" i="4"/>
  <c r="A70" i="4"/>
  <c r="K70" i="4" s="1"/>
  <c r="A54" i="4"/>
  <c r="A38" i="4"/>
  <c r="A22" i="4"/>
  <c r="M22" i="4" s="1"/>
  <c r="A6" i="4"/>
  <c r="M6" i="4" s="1"/>
  <c r="A17" i="4"/>
  <c r="L17" i="4" s="1"/>
  <c r="Q17" i="4" s="1"/>
  <c r="A12" i="4"/>
  <c r="A129" i="4"/>
  <c r="A39" i="4"/>
  <c r="A110" i="4"/>
  <c r="H173" i="4"/>
  <c r="C89" i="4"/>
  <c r="C161" i="4"/>
  <c r="C136" i="4"/>
  <c r="A16" i="4"/>
  <c r="M16" i="4" s="1"/>
  <c r="C8" i="4"/>
  <c r="C44" i="4"/>
  <c r="A37" i="4"/>
  <c r="M37" i="4" s="1"/>
  <c r="C125" i="4"/>
  <c r="C120" i="4"/>
  <c r="A46" i="4"/>
  <c r="M46" i="4" s="1"/>
  <c r="C160" i="4"/>
  <c r="A165" i="4"/>
  <c r="M165" i="4" s="1"/>
  <c r="C49" i="4"/>
  <c r="C96" i="4"/>
  <c r="C40" i="4"/>
  <c r="C153" i="4"/>
  <c r="C60" i="4"/>
  <c r="A45" i="4"/>
  <c r="M45" i="4" s="1"/>
  <c r="A101" i="4"/>
  <c r="M101" i="4" s="1"/>
  <c r="C20" i="4"/>
  <c r="C149" i="4"/>
  <c r="C124" i="4"/>
  <c r="C41" i="4"/>
  <c r="C113" i="4"/>
  <c r="C72" i="4"/>
  <c r="A157" i="4"/>
  <c r="M157" i="4" s="1"/>
  <c r="C132" i="4"/>
  <c r="H19" i="3"/>
  <c r="P23" i="3" s="1"/>
  <c r="N36" i="3"/>
  <c r="C129" i="4"/>
  <c r="C117" i="4"/>
  <c r="C100" i="4"/>
  <c r="C93" i="4"/>
  <c r="C88" i="4"/>
  <c r="A69" i="4"/>
  <c r="M69" i="4" s="1"/>
  <c r="C64" i="4"/>
  <c r="C57" i="4"/>
  <c r="C65" i="4"/>
  <c r="C36" i="4"/>
  <c r="C53" i="4"/>
  <c r="C168" i="4"/>
  <c r="C156" i="4"/>
  <c r="C145" i="4"/>
  <c r="A32" i="4"/>
  <c r="M32" i="4" s="1"/>
  <c r="C85" i="4"/>
  <c r="C68" i="4"/>
  <c r="C61" i="4"/>
  <c r="C97" i="4"/>
  <c r="C24" i="4"/>
  <c r="C164" i="4"/>
  <c r="C152" i="4"/>
  <c r="A133" i="4"/>
  <c r="M133" i="4" s="1"/>
  <c r="C128" i="4"/>
  <c r="C121" i="4"/>
  <c r="C104" i="4"/>
  <c r="C92" i="4"/>
  <c r="A77" i="4"/>
  <c r="M77" i="4" s="1"/>
  <c r="C56" i="4"/>
  <c r="A5" i="4"/>
  <c r="M5" i="4" s="1"/>
  <c r="C28" i="4"/>
  <c r="C12" i="4"/>
  <c r="C169" i="4"/>
  <c r="C144" i="4"/>
  <c r="C137" i="4"/>
  <c r="C112" i="4"/>
  <c r="C105" i="4"/>
  <c r="C80" i="4"/>
  <c r="C73" i="4"/>
  <c r="C48" i="4"/>
  <c r="C81" i="4"/>
  <c r="C172" i="4"/>
  <c r="C140" i="4"/>
  <c r="C108" i="4"/>
  <c r="C76" i="4"/>
  <c r="C148" i="4"/>
  <c r="C141" i="4"/>
  <c r="C116" i="4"/>
  <c r="C109" i="4"/>
  <c r="C84" i="4"/>
  <c r="C52" i="4"/>
  <c r="C170" i="4"/>
  <c r="C166" i="4"/>
  <c r="C162" i="4"/>
  <c r="C158" i="4"/>
  <c r="C154" i="4"/>
  <c r="C150" i="4"/>
  <c r="C146" i="4"/>
  <c r="C142" i="4"/>
  <c r="C138" i="4"/>
  <c r="C134" i="4"/>
  <c r="C130" i="4"/>
  <c r="C126" i="4"/>
  <c r="C122" i="4"/>
  <c r="C118" i="4"/>
  <c r="C114" i="4"/>
  <c r="C110" i="4"/>
  <c r="C106" i="4"/>
  <c r="C102" i="4"/>
  <c r="C98" i="4"/>
  <c r="C94" i="4"/>
  <c r="C90" i="4"/>
  <c r="C86" i="4"/>
  <c r="C82" i="4"/>
  <c r="C78" i="4"/>
  <c r="C74" i="4"/>
  <c r="C70" i="4"/>
  <c r="C66" i="4"/>
  <c r="C62" i="4"/>
  <c r="C58" i="4"/>
  <c r="C54" i="4"/>
  <c r="C50" i="4"/>
  <c r="C42" i="4"/>
  <c r="C38" i="4"/>
  <c r="C171" i="4"/>
  <c r="C167" i="4"/>
  <c r="C163" i="4"/>
  <c r="C159" i="4"/>
  <c r="C155" i="4"/>
  <c r="C151" i="4"/>
  <c r="C147" i="4"/>
  <c r="C143" i="4"/>
  <c r="C139" i="4"/>
  <c r="C135" i="4"/>
  <c r="C131" i="4"/>
  <c r="C127" i="4"/>
  <c r="C123" i="4"/>
  <c r="C119" i="4"/>
  <c r="C115" i="4"/>
  <c r="C111" i="4"/>
  <c r="C107" i="4"/>
  <c r="C103" i="4"/>
  <c r="C99" i="4"/>
  <c r="C95" i="4"/>
  <c r="C91" i="4"/>
  <c r="C87" i="4"/>
  <c r="C83" i="4"/>
  <c r="C79" i="4"/>
  <c r="C75" i="4"/>
  <c r="C71" i="4"/>
  <c r="C67" i="4"/>
  <c r="C63" i="4"/>
  <c r="C59" i="4"/>
  <c r="C55" i="4"/>
  <c r="C51" i="4"/>
  <c r="C47" i="4"/>
  <c r="C43" i="4"/>
  <c r="C39" i="4"/>
  <c r="C35" i="4"/>
  <c r="C29" i="4"/>
  <c r="C21" i="4"/>
  <c r="C17" i="4"/>
  <c r="C13" i="4"/>
  <c r="A25" i="4"/>
  <c r="M25" i="4" s="1"/>
  <c r="A9" i="4"/>
  <c r="M9" i="4" s="1"/>
  <c r="C34" i="4"/>
  <c r="C30" i="4"/>
  <c r="C22" i="4"/>
  <c r="C18" i="4"/>
  <c r="C10" i="4"/>
  <c r="C6" i="4"/>
  <c r="A26" i="4"/>
  <c r="M26" i="4" s="1"/>
  <c r="A14" i="4"/>
  <c r="M14" i="4" s="1"/>
  <c r="C31" i="4"/>
  <c r="C27" i="4"/>
  <c r="C23" i="4"/>
  <c r="C19" i="4"/>
  <c r="C15" i="4"/>
  <c r="C11" i="4"/>
  <c r="C7" i="4"/>
  <c r="C33" i="4"/>
  <c r="C33" i="3" a="1"/>
  <c r="C33" i="3" s="1"/>
  <c r="C31" i="3" s="1"/>
  <c r="P21" i="3"/>
  <c r="AU15" i="4" l="1"/>
  <c r="AK154" i="4"/>
  <c r="AN21" i="4"/>
  <c r="AH136" i="4"/>
  <c r="BE164" i="4"/>
  <c r="AT164" i="4"/>
  <c r="AK47" i="4"/>
  <c r="AQ47" i="4"/>
  <c r="BM47" i="4" s="1"/>
  <c r="AN34" i="4"/>
  <c r="AS98" i="4"/>
  <c r="AL139" i="4"/>
  <c r="AW102" i="4"/>
  <c r="AI127" i="4"/>
  <c r="AX10" i="4"/>
  <c r="Z59" i="4"/>
  <c r="AG79" i="4"/>
  <c r="BC79" i="4" s="1"/>
  <c r="AW79" i="4"/>
  <c r="BH154" i="4"/>
  <c r="AX154" i="4"/>
  <c r="AK6" i="4"/>
  <c r="AN10" i="4"/>
  <c r="AI21" i="4"/>
  <c r="AC118" i="4"/>
  <c r="AM79" i="4"/>
  <c r="AO79" i="4"/>
  <c r="BS154" i="4"/>
  <c r="AQ154" i="4"/>
  <c r="BT136" i="4"/>
  <c r="BF154" i="4"/>
  <c r="AW164" i="4"/>
  <c r="AZ166" i="4"/>
  <c r="AP68" i="4"/>
  <c r="BL68" i="4" s="1"/>
  <c r="AO15" i="4"/>
  <c r="AO139" i="4"/>
  <c r="AG26" i="4"/>
  <c r="AT169" i="4"/>
  <c r="BH166" i="4"/>
  <c r="J109" i="4"/>
  <c r="N109" i="4" s="1"/>
  <c r="I74" i="4"/>
  <c r="O74" i="4" s="1"/>
  <c r="L155" i="4"/>
  <c r="Q155" i="4" s="1"/>
  <c r="R155" i="4" s="1"/>
  <c r="K155" i="4"/>
  <c r="Z170" i="4"/>
  <c r="J155" i="4"/>
  <c r="BA163" i="4"/>
  <c r="AI31" i="4"/>
  <c r="BE31" i="4" s="1"/>
  <c r="AO163" i="4"/>
  <c r="AH26" i="4"/>
  <c r="AI86" i="4"/>
  <c r="BE86" i="4" s="1"/>
  <c r="AU31" i="4"/>
  <c r="AJ47" i="4"/>
  <c r="AD79" i="4"/>
  <c r="AU79" i="4"/>
  <c r="AJ79" i="4"/>
  <c r="BF79" i="4" s="1"/>
  <c r="BL154" i="4"/>
  <c r="AC154" i="4"/>
  <c r="AH163" i="4"/>
  <c r="BJ148" i="4"/>
  <c r="AL26" i="4"/>
  <c r="AF21" i="4"/>
  <c r="AX118" i="4"/>
  <c r="BB164" i="4"/>
  <c r="BP136" i="4"/>
  <c r="Z46" i="4"/>
  <c r="Z161" i="4"/>
  <c r="Z25" i="4"/>
  <c r="Z116" i="4"/>
  <c r="AF31" i="4"/>
  <c r="BB31" i="4" s="1"/>
  <c r="Z24" i="4"/>
  <c r="AP31" i="4"/>
  <c r="BL31" i="4" s="1"/>
  <c r="AX144" i="4"/>
  <c r="Z26" i="4"/>
  <c r="AC31" i="4"/>
  <c r="AY31" i="4" s="1"/>
  <c r="BL135" i="4"/>
  <c r="AY154" i="4"/>
  <c r="AN154" i="4"/>
  <c r="AS154" i="4"/>
  <c r="AP6" i="4"/>
  <c r="BL6" i="4" s="1"/>
  <c r="AR10" i="4"/>
  <c r="BN10" i="4" s="1"/>
  <c r="AH21" i="4"/>
  <c r="BD21" i="4" s="1"/>
  <c r="AO21" i="4"/>
  <c r="BK21" i="4" s="1"/>
  <c r="BK164" i="4"/>
  <c r="AJ164" i="4"/>
  <c r="BB136" i="4"/>
  <c r="AS136" i="4"/>
  <c r="AX135" i="4"/>
  <c r="AZ154" i="4"/>
  <c r="AV154" i="4"/>
  <c r="AD154" i="4"/>
  <c r="AD6" i="4"/>
  <c r="AJ6" i="4"/>
  <c r="AF10" i="4"/>
  <c r="AQ21" i="4"/>
  <c r="AM21" i="4"/>
  <c r="BI21" i="4" s="1"/>
  <c r="AK118" i="4"/>
  <c r="BG118" i="4" s="1"/>
  <c r="BG164" i="4"/>
  <c r="AF164" i="4"/>
  <c r="BI136" i="4"/>
  <c r="AI136" i="4"/>
  <c r="AI135" i="4"/>
  <c r="AM6" i="4"/>
  <c r="AS6" i="4"/>
  <c r="BO6" i="4" s="1"/>
  <c r="BP150" i="4"/>
  <c r="AH10" i="4"/>
  <c r="BD10" i="4" s="1"/>
  <c r="AM118" i="4"/>
  <c r="BI118" i="4" s="1"/>
  <c r="BR164" i="4"/>
  <c r="AN164" i="4"/>
  <c r="BE136" i="4"/>
  <c r="BF136" i="4"/>
  <c r="AJ136" i="4"/>
  <c r="BC154" i="4"/>
  <c r="AF154" i="4"/>
  <c r="AT6" i="4"/>
  <c r="BP6" i="4" s="1"/>
  <c r="AW6" i="4"/>
  <c r="BJ150" i="4"/>
  <c r="AU10" i="4"/>
  <c r="AG21" i="4"/>
  <c r="AD118" i="4"/>
  <c r="AZ118" i="4" s="1"/>
  <c r="BC164" i="4"/>
  <c r="AO164" i="4"/>
  <c r="BG136" i="4"/>
  <c r="AL136" i="4"/>
  <c r="AR136" i="4"/>
  <c r="AJ150" i="4"/>
  <c r="AI6" i="4"/>
  <c r="AJ10" i="4"/>
  <c r="BF10" i="4" s="1"/>
  <c r="AD10" i="4"/>
  <c r="AZ10" i="4" s="1"/>
  <c r="AD21" i="4"/>
  <c r="AZ21" i="4" s="1"/>
  <c r="AG118" i="4"/>
  <c r="BC118" i="4" s="1"/>
  <c r="BN164" i="4"/>
  <c r="AO8" i="4"/>
  <c r="BM136" i="4"/>
  <c r="AN136" i="4"/>
  <c r="AN46" i="4"/>
  <c r="BJ46" i="4" s="1"/>
  <c r="AL10" i="4"/>
  <c r="BH10" i="4" s="1"/>
  <c r="AM10" i="4"/>
  <c r="BI10" i="4" s="1"/>
  <c r="AR118" i="4"/>
  <c r="BN118" i="4" s="1"/>
  <c r="AY164" i="4"/>
  <c r="AL164" i="4"/>
  <c r="BJ136" i="4"/>
  <c r="AP136" i="4"/>
  <c r="AW127" i="4"/>
  <c r="BS127" i="4" s="1"/>
  <c r="AJ135" i="4"/>
  <c r="BE154" i="4"/>
  <c r="BJ154" i="4"/>
  <c r="AG154" i="4"/>
  <c r="AT154" i="4"/>
  <c r="AC6" i="4"/>
  <c r="AX6" i="4"/>
  <c r="AS150" i="4"/>
  <c r="BI148" i="4"/>
  <c r="AP10" i="4"/>
  <c r="BL10" i="4" s="1"/>
  <c r="AV10" i="4"/>
  <c r="BR10" i="4" s="1"/>
  <c r="AV21" i="4"/>
  <c r="BR21" i="4" s="1"/>
  <c r="AG86" i="4"/>
  <c r="AP118" i="4"/>
  <c r="BH164" i="4"/>
  <c r="AE164" i="4"/>
  <c r="BC136" i="4"/>
  <c r="AV136" i="4"/>
  <c r="AE136" i="4"/>
  <c r="BG135" i="4"/>
  <c r="AK135" i="4"/>
  <c r="AI49" i="4"/>
  <c r="AJ69" i="4"/>
  <c r="BH135" i="4"/>
  <c r="AQ69" i="4"/>
  <c r="BM69" i="4" s="1"/>
  <c r="AN127" i="4"/>
  <c r="BJ127" i="4" s="1"/>
  <c r="BS135" i="4"/>
  <c r="AJ146" i="4"/>
  <c r="BK154" i="4"/>
  <c r="AM154" i="4"/>
  <c r="AJ154" i="4"/>
  <c r="AN6" i="4"/>
  <c r="BJ6" i="4" s="1"/>
  <c r="AH6" i="4"/>
  <c r="BD6" i="4" s="1"/>
  <c r="AI10" i="4"/>
  <c r="AT10" i="4"/>
  <c r="BP10" i="4" s="1"/>
  <c r="AP21" i="4"/>
  <c r="BL21" i="4" s="1"/>
  <c r="AW21" i="4"/>
  <c r="AO117" i="4"/>
  <c r="AN118" i="4"/>
  <c r="AL118" i="4"/>
  <c r="BH118" i="4" s="1"/>
  <c r="BA164" i="4"/>
  <c r="BF164" i="4"/>
  <c r="AV164" i="4"/>
  <c r="AG88" i="4"/>
  <c r="BC88" i="4" s="1"/>
  <c r="BA136" i="4"/>
  <c r="AX136" i="4"/>
  <c r="BL144" i="4"/>
  <c r="BK135" i="4"/>
  <c r="BF135" i="4"/>
  <c r="AZ135" i="4"/>
  <c r="AN135" i="4"/>
  <c r="AR135" i="4"/>
  <c r="AS135" i="4"/>
  <c r="AF146" i="4"/>
  <c r="BG150" i="4"/>
  <c r="AR150" i="4"/>
  <c r="AN49" i="4"/>
  <c r="BJ49" i="4" s="1"/>
  <c r="AD69" i="4"/>
  <c r="AZ69" i="4" s="1"/>
  <c r="AQ66" i="4"/>
  <c r="BM66" i="4" s="1"/>
  <c r="AJ85" i="4"/>
  <c r="BO135" i="4"/>
  <c r="BB135" i="4"/>
  <c r="AW135" i="4"/>
  <c r="AT135" i="4"/>
  <c r="AN66" i="4"/>
  <c r="BJ66" i="4" s="1"/>
  <c r="BP154" i="4"/>
  <c r="BA154" i="4"/>
  <c r="AH154" i="4"/>
  <c r="AW154" i="4"/>
  <c r="BA139" i="4"/>
  <c r="AT163" i="4"/>
  <c r="AV6" i="4"/>
  <c r="BR6" i="4" s="1"/>
  <c r="AG6" i="4"/>
  <c r="BC6" i="4" s="1"/>
  <c r="BK150" i="4"/>
  <c r="BR150" i="4"/>
  <c r="AU49" i="4"/>
  <c r="AM148" i="4"/>
  <c r="AS10" i="4"/>
  <c r="AG10" i="4"/>
  <c r="AL21" i="4"/>
  <c r="BH21" i="4" s="1"/>
  <c r="AU21" i="4"/>
  <c r="BQ21" i="4" s="1"/>
  <c r="AR69" i="4"/>
  <c r="BN69" i="4" s="1"/>
  <c r="AW118" i="4"/>
  <c r="AU118" i="4"/>
  <c r="BQ118" i="4" s="1"/>
  <c r="AE169" i="4"/>
  <c r="BM164" i="4"/>
  <c r="BS164" i="4"/>
  <c r="AC164" i="4"/>
  <c r="BO136" i="4"/>
  <c r="BL136" i="4"/>
  <c r="AF136" i="4"/>
  <c r="BS144" i="4"/>
  <c r="AX49" i="4"/>
  <c r="AC69" i="4"/>
  <c r="AY69" i="4" s="1"/>
  <c r="BR135" i="4"/>
  <c r="BN135" i="4"/>
  <c r="AE135" i="4"/>
  <c r="AU135" i="4"/>
  <c r="AY150" i="4"/>
  <c r="AE103" i="4"/>
  <c r="BA103" i="4" s="1"/>
  <c r="AR127" i="4"/>
  <c r="BE135" i="4"/>
  <c r="BC135" i="4"/>
  <c r="AF135" i="4"/>
  <c r="AD135" i="4"/>
  <c r="BO146" i="4"/>
  <c r="AZ150" i="4"/>
  <c r="AH150" i="4"/>
  <c r="AG49" i="4"/>
  <c r="AL69" i="4"/>
  <c r="BH69" i="4" s="1"/>
  <c r="AP150" i="4"/>
  <c r="AM103" i="4"/>
  <c r="BI103" i="4" s="1"/>
  <c r="AY135" i="4"/>
  <c r="BM135" i="4"/>
  <c r="AP135" i="4"/>
  <c r="AM135" i="4"/>
  <c r="BI146" i="4"/>
  <c r="BN150" i="4"/>
  <c r="AG150" i="4"/>
  <c r="AQ49" i="4"/>
  <c r="BM49" i="4" s="1"/>
  <c r="AS69" i="4"/>
  <c r="BO69" i="4" s="1"/>
  <c r="AF69" i="4"/>
  <c r="BB69" i="4" s="1"/>
  <c r="AM91" i="4"/>
  <c r="BI91" i="4" s="1"/>
  <c r="AS103" i="4"/>
  <c r="BO103" i="4" s="1"/>
  <c r="BI135" i="4"/>
  <c r="AO135" i="4"/>
  <c r="AH135" i="4"/>
  <c r="AC135" i="4"/>
  <c r="BB146" i="4"/>
  <c r="BF150" i="4"/>
  <c r="AI150" i="4"/>
  <c r="AR49" i="4"/>
  <c r="BN49" i="4" s="1"/>
  <c r="AX69" i="4"/>
  <c r="AV69" i="4"/>
  <c r="BR69" i="4" s="1"/>
  <c r="AN22" i="4"/>
  <c r="Y22" i="4"/>
  <c r="Z22" i="4"/>
  <c r="Z95" i="4"/>
  <c r="Y95" i="4"/>
  <c r="X95" i="4"/>
  <c r="W151" i="4"/>
  <c r="V151" i="4"/>
  <c r="Z151" i="4"/>
  <c r="Y151" i="4"/>
  <c r="X151" i="4"/>
  <c r="Z127" i="4"/>
  <c r="Y127" i="4"/>
  <c r="Z156" i="4"/>
  <c r="X156" i="4"/>
  <c r="Y156" i="4"/>
  <c r="AF103" i="4"/>
  <c r="AW103" i="4"/>
  <c r="BS103" i="4" s="1"/>
  <c r="AI66" i="4"/>
  <c r="BE66" i="4" s="1"/>
  <c r="BN146" i="4"/>
  <c r="BT146" i="4"/>
  <c r="AW146" i="4"/>
  <c r="AN146" i="4"/>
  <c r="Z89" i="4"/>
  <c r="Z159" i="4"/>
  <c r="Y159" i="4"/>
  <c r="Z18" i="4"/>
  <c r="Y18" i="4"/>
  <c r="X18" i="4"/>
  <c r="AH103" i="4"/>
  <c r="BD103" i="4" s="1"/>
  <c r="AD103" i="4"/>
  <c r="AJ127" i="4"/>
  <c r="BF127" i="4" s="1"/>
  <c r="AO127" i="4"/>
  <c r="AS34" i="4"/>
  <c r="BO34" i="4" s="1"/>
  <c r="AJ66" i="4"/>
  <c r="BF66" i="4" s="1"/>
  <c r="AX66" i="4"/>
  <c r="BT66" i="4" s="1"/>
  <c r="AD98" i="4"/>
  <c r="AZ98" i="4" s="1"/>
  <c r="BP146" i="4"/>
  <c r="AZ146" i="4"/>
  <c r="AC146" i="4"/>
  <c r="AK146" i="4"/>
  <c r="AV146" i="4"/>
  <c r="BJ163" i="4"/>
  <c r="AK38" i="4"/>
  <c r="BG38" i="4" s="1"/>
  <c r="AK102" i="4"/>
  <c r="BG102" i="4" s="1"/>
  <c r="AN148" i="4"/>
  <c r="AD162" i="4"/>
  <c r="AT85" i="4"/>
  <c r="BP85" i="4" s="1"/>
  <c r="AI48" i="4"/>
  <c r="BC144" i="4"/>
  <c r="BD168" i="4"/>
  <c r="AT126" i="4"/>
  <c r="BP126" i="4" s="1"/>
  <c r="AC84" i="4"/>
  <c r="AY84" i="4" s="1"/>
  <c r="Z37" i="4"/>
  <c r="X37" i="4"/>
  <c r="W37" i="4"/>
  <c r="Y37" i="4"/>
  <c r="X64" i="4"/>
  <c r="W64" i="4"/>
  <c r="V64" i="4"/>
  <c r="Z64" i="4"/>
  <c r="Y64" i="4"/>
  <c r="AP66" i="4"/>
  <c r="BL66" i="4" s="1"/>
  <c r="BJ146" i="4"/>
  <c r="AK85" i="4"/>
  <c r="AT22" i="4"/>
  <c r="BP22" i="4" s="1"/>
  <c r="AL126" i="4"/>
  <c r="BH126" i="4" s="1"/>
  <c r="X80" i="4"/>
  <c r="W80" i="4"/>
  <c r="Z80" i="4"/>
  <c r="Y80" i="4"/>
  <c r="AR103" i="4"/>
  <c r="BN103" i="4" s="1"/>
  <c r="AN103" i="4"/>
  <c r="AL127" i="4"/>
  <c r="BH127" i="4" s="1"/>
  <c r="AC127" i="4"/>
  <c r="AY127" i="4" s="1"/>
  <c r="AK34" i="4"/>
  <c r="BG34" i="4" s="1"/>
  <c r="AM66" i="4"/>
  <c r="BI66" i="4" s="1"/>
  <c r="AK66" i="4"/>
  <c r="BG66" i="4" s="1"/>
  <c r="AC98" i="4"/>
  <c r="AY98" i="4" s="1"/>
  <c r="BD146" i="4"/>
  <c r="BK146" i="4"/>
  <c r="AO146" i="4"/>
  <c r="AX146" i="4"/>
  <c r="BR163" i="4"/>
  <c r="AC38" i="4"/>
  <c r="AY38" i="4" s="1"/>
  <c r="AI102" i="4"/>
  <c r="BE102" i="4" s="1"/>
  <c r="AZ148" i="4"/>
  <c r="AE85" i="4"/>
  <c r="BA85" i="4" s="1"/>
  <c r="AL85" i="4"/>
  <c r="BP171" i="4"/>
  <c r="AC86" i="4"/>
  <c r="BP134" i="4"/>
  <c r="AU48" i="4"/>
  <c r="BQ48" i="4" s="1"/>
  <c r="AK144" i="4"/>
  <c r="AJ84" i="4"/>
  <c r="BF84" i="4" s="1"/>
  <c r="Z27" i="4"/>
  <c r="Y27" i="4"/>
  <c r="X27" i="4"/>
  <c r="V27" i="4"/>
  <c r="T27" i="4"/>
  <c r="S27" i="4"/>
  <c r="U27" i="4"/>
  <c r="W27" i="4"/>
  <c r="Z123" i="4"/>
  <c r="Y123" i="4"/>
  <c r="X123" i="4"/>
  <c r="Z133" i="4"/>
  <c r="Y133" i="4"/>
  <c r="X133" i="4"/>
  <c r="W133" i="4"/>
  <c r="Y41" i="4"/>
  <c r="X41" i="4"/>
  <c r="Z41" i="4"/>
  <c r="U29" i="4"/>
  <c r="T29" i="4"/>
  <c r="Z29" i="4"/>
  <c r="X29" i="4"/>
  <c r="V29" i="4"/>
  <c r="W29" i="4"/>
  <c r="Y29" i="4"/>
  <c r="Z58" i="4"/>
  <c r="Z76" i="4"/>
  <c r="Z114" i="4"/>
  <c r="Y114" i="4"/>
  <c r="AI103" i="4"/>
  <c r="BE103" i="4" s="1"/>
  <c r="AJ103" i="4"/>
  <c r="BF103" i="4" s="1"/>
  <c r="AX103" i="4"/>
  <c r="BT103" i="4" s="1"/>
  <c r="AU127" i="4"/>
  <c r="AK127" i="4"/>
  <c r="AW34" i="4"/>
  <c r="BS34" i="4" s="1"/>
  <c r="AR66" i="4"/>
  <c r="BN66" i="4" s="1"/>
  <c r="AU66" i="4"/>
  <c r="BQ66" i="4" s="1"/>
  <c r="AR98" i="4"/>
  <c r="BN98" i="4" s="1"/>
  <c r="BE146" i="4"/>
  <c r="BL146" i="4"/>
  <c r="AE146" i="4"/>
  <c r="AI146" i="4"/>
  <c r="BG163" i="4"/>
  <c r="AX38" i="4"/>
  <c r="BT38" i="4" s="1"/>
  <c r="BK148" i="4"/>
  <c r="AR85" i="4"/>
  <c r="BN85" i="4" s="1"/>
  <c r="AN85" i="4"/>
  <c r="AC171" i="4"/>
  <c r="AL86" i="4"/>
  <c r="BH86" i="4" s="1"/>
  <c r="AO144" i="4"/>
  <c r="AO84" i="4"/>
  <c r="BK84" i="4" s="1"/>
  <c r="Z99" i="4"/>
  <c r="Y99" i="4"/>
  <c r="X32" i="4"/>
  <c r="W32" i="4"/>
  <c r="V32" i="4"/>
  <c r="U32" i="4"/>
  <c r="Y32" i="4"/>
  <c r="Z32" i="4"/>
  <c r="Y165" i="4"/>
  <c r="Z165" i="4"/>
  <c r="X165" i="4"/>
  <c r="X16" i="4"/>
  <c r="W16" i="4"/>
  <c r="Z16" i="4"/>
  <c r="Y16" i="4"/>
  <c r="U5" i="4"/>
  <c r="T5" i="4"/>
  <c r="S5" i="4"/>
  <c r="Z5" i="4"/>
  <c r="X5" i="4"/>
  <c r="W5" i="4"/>
  <c r="V5" i="4"/>
  <c r="Y5" i="4"/>
  <c r="Z69" i="4"/>
  <c r="X69" i="4"/>
  <c r="W69" i="4"/>
  <c r="Y69" i="4"/>
  <c r="Z101" i="4"/>
  <c r="X72" i="4"/>
  <c r="Z72" i="4"/>
  <c r="Y72" i="4"/>
  <c r="Z155" i="4"/>
  <c r="Y155" i="4"/>
  <c r="X155" i="4"/>
  <c r="Z147" i="4"/>
  <c r="Y147" i="4"/>
  <c r="X147" i="4"/>
  <c r="W147" i="4"/>
  <c r="V147" i="4"/>
  <c r="U147" i="4"/>
  <c r="Z71" i="4"/>
  <c r="Y71" i="4"/>
  <c r="X71" i="4"/>
  <c r="Z56" i="4"/>
  <c r="Y56" i="4"/>
  <c r="AT103" i="4"/>
  <c r="BP103" i="4" s="1"/>
  <c r="AU103" i="4"/>
  <c r="AG103" i="4"/>
  <c r="BC103" i="4" s="1"/>
  <c r="AG127" i="4"/>
  <c r="BC127" i="4" s="1"/>
  <c r="AM127" i="4"/>
  <c r="BI127" i="4" s="1"/>
  <c r="AS127" i="4"/>
  <c r="AD66" i="4"/>
  <c r="AZ66" i="4" s="1"/>
  <c r="AL66" i="4"/>
  <c r="BH66" i="4" s="1"/>
  <c r="BC146" i="4"/>
  <c r="AP146" i="4"/>
  <c r="AG146" i="4"/>
  <c r="AQ146" i="4"/>
  <c r="AX85" i="4"/>
  <c r="BT85" i="4" s="1"/>
  <c r="AV85" i="4"/>
  <c r="V14" i="4"/>
  <c r="Y14" i="4"/>
  <c r="X14" i="4"/>
  <c r="W14" i="4"/>
  <c r="Z14" i="4"/>
  <c r="Z45" i="4"/>
  <c r="Y45" i="4"/>
  <c r="AO103" i="4"/>
  <c r="BK103" i="4" s="1"/>
  <c r="AL103" i="4"/>
  <c r="BH103" i="4" s="1"/>
  <c r="AP103" i="4"/>
  <c r="AH127" i="4"/>
  <c r="BD127" i="4" s="1"/>
  <c r="AV127" i="4"/>
  <c r="AO66" i="4"/>
  <c r="BK66" i="4" s="1"/>
  <c r="AV66" i="4"/>
  <c r="BR66" i="4" s="1"/>
  <c r="BM146" i="4"/>
  <c r="BH146" i="4"/>
  <c r="AS146" i="4"/>
  <c r="AL146" i="4"/>
  <c r="AG85" i="4"/>
  <c r="AG64" i="4"/>
  <c r="Y9" i="4"/>
  <c r="X9" i="4"/>
  <c r="W9" i="4"/>
  <c r="V9" i="4"/>
  <c r="Z9" i="4"/>
  <c r="U9" i="4"/>
  <c r="Z157" i="4"/>
  <c r="Y157" i="4"/>
  <c r="X157" i="4"/>
  <c r="Z77" i="4"/>
  <c r="I167" i="4"/>
  <c r="O167" i="4" s="1"/>
  <c r="V6" i="4"/>
  <c r="U6" i="4"/>
  <c r="T6" i="4"/>
  <c r="Y6" i="4"/>
  <c r="W6" i="4"/>
  <c r="X6" i="4"/>
  <c r="Z6" i="4"/>
  <c r="Z84" i="4"/>
  <c r="Y84" i="4"/>
  <c r="X84" i="4"/>
  <c r="W143" i="4"/>
  <c r="V143" i="4"/>
  <c r="U143" i="4"/>
  <c r="T143" i="4"/>
  <c r="Z143" i="4"/>
  <c r="Y143" i="4"/>
  <c r="X143" i="4"/>
  <c r="Z124" i="4"/>
  <c r="Y124" i="4"/>
  <c r="X124" i="4"/>
  <c r="W119" i="4"/>
  <c r="Z119" i="4"/>
  <c r="Y119" i="4"/>
  <c r="X119" i="4"/>
  <c r="V62" i="4"/>
  <c r="U62" i="4"/>
  <c r="Y62" i="4"/>
  <c r="X62" i="4"/>
  <c r="W62" i="4"/>
  <c r="Z62" i="4"/>
  <c r="AQ103" i="4"/>
  <c r="BM103" i="4" s="1"/>
  <c r="AV103" i="4"/>
  <c r="BR103" i="4" s="1"/>
  <c r="AC103" i="4"/>
  <c r="AY103" i="4" s="1"/>
  <c r="AP127" i="4"/>
  <c r="AE127" i="4"/>
  <c r="AF66" i="4"/>
  <c r="AE66" i="4"/>
  <c r="BS146" i="4"/>
  <c r="BQ146" i="4"/>
  <c r="AH146" i="4"/>
  <c r="AT146" i="4"/>
  <c r="AD163" i="4"/>
  <c r="AR102" i="4"/>
  <c r="BN102" i="4" s="1"/>
  <c r="AD148" i="4"/>
  <c r="AT26" i="4"/>
  <c r="AQ85" i="4"/>
  <c r="BM85" i="4" s="1"/>
  <c r="AL64" i="4"/>
  <c r="BH64" i="4" s="1"/>
  <c r="BR144" i="4"/>
  <c r="AF9" i="4"/>
  <c r="BB9" i="4" s="1"/>
  <c r="AD15" i="4"/>
  <c r="AZ15" i="4" s="1"/>
  <c r="BC139" i="4"/>
  <c r="AF139" i="4"/>
  <c r="AI85" i="4"/>
  <c r="AU85" i="4"/>
  <c r="BQ85" i="4" s="1"/>
  <c r="BQ166" i="4"/>
  <c r="AP169" i="4"/>
  <c r="AX91" i="4"/>
  <c r="BT91" i="4" s="1"/>
  <c r="AO126" i="4"/>
  <c r="AJ9" i="4"/>
  <c r="BF9" i="4" s="1"/>
  <c r="AM15" i="4"/>
  <c r="BI15" i="4" s="1"/>
  <c r="BO139" i="4"/>
  <c r="AH139" i="4"/>
  <c r="AT70" i="4"/>
  <c r="BP70" i="4" s="1"/>
  <c r="AO85" i="4"/>
  <c r="BK85" i="4" s="1"/>
  <c r="AM85" i="4"/>
  <c r="BI85" i="4" s="1"/>
  <c r="AE166" i="4"/>
  <c r="AR91" i="4"/>
  <c r="AP126" i="4"/>
  <c r="AX9" i="4"/>
  <c r="BF139" i="4"/>
  <c r="AP139" i="4"/>
  <c r="AG70" i="4"/>
  <c r="BC70" i="4" s="1"/>
  <c r="AP162" i="4"/>
  <c r="AH85" i="4"/>
  <c r="BD85" i="4" s="1"/>
  <c r="AW85" i="4"/>
  <c r="AH166" i="4"/>
  <c r="BN169" i="4"/>
  <c r="AE22" i="4"/>
  <c r="BA22" i="4" s="1"/>
  <c r="AJ126" i="4"/>
  <c r="BF126" i="4" s="1"/>
  <c r="AO9" i="4"/>
  <c r="BK9" i="4" s="1"/>
  <c r="BS139" i="4"/>
  <c r="AE70" i="4"/>
  <c r="BA70" i="4" s="1"/>
  <c r="AQ117" i="4"/>
  <c r="BM117" i="4" s="1"/>
  <c r="AV166" i="4"/>
  <c r="AY169" i="4"/>
  <c r="AQ68" i="4"/>
  <c r="BM68" i="4" s="1"/>
  <c r="AL15" i="4"/>
  <c r="BH15" i="4" s="1"/>
  <c r="BG139" i="4"/>
  <c r="AN70" i="4"/>
  <c r="BJ70" i="4" s="1"/>
  <c r="AC117" i="4"/>
  <c r="AY117" i="4" s="1"/>
  <c r="AC166" i="4"/>
  <c r="BJ169" i="4"/>
  <c r="AK68" i="4"/>
  <c r="AN15" i="4"/>
  <c r="BJ15" i="4" s="1"/>
  <c r="AT139" i="4"/>
  <c r="AL117" i="4"/>
  <c r="BH117" i="4" s="1"/>
  <c r="AK166" i="4"/>
  <c r="AC169" i="4"/>
  <c r="AW68" i="4"/>
  <c r="BS68" i="4" s="1"/>
  <c r="AW22" i="4"/>
  <c r="AK126" i="4"/>
  <c r="AJ31" i="4"/>
  <c r="BF31" i="4" s="1"/>
  <c r="AL31" i="4"/>
  <c r="BH31" i="4" s="1"/>
  <c r="AQ31" i="4"/>
  <c r="BM31" i="4" s="1"/>
  <c r="BB163" i="4"/>
  <c r="BI163" i="4"/>
  <c r="AR163" i="4"/>
  <c r="AL163" i="4"/>
  <c r="BD148" i="4"/>
  <c r="BA148" i="4"/>
  <c r="AF148" i="4"/>
  <c r="AU148" i="4"/>
  <c r="AF26" i="4"/>
  <c r="BB26" i="4" s="1"/>
  <c r="AC26" i="4"/>
  <c r="AY26" i="4" s="1"/>
  <c r="AW26" i="4"/>
  <c r="BS26" i="4" s="1"/>
  <c r="AK86" i="4"/>
  <c r="BG86" i="4" s="1"/>
  <c r="AQ86" i="4"/>
  <c r="BM86" i="4" s="1"/>
  <c r="AJ48" i="4"/>
  <c r="BF48" i="4" s="1"/>
  <c r="AY144" i="4"/>
  <c r="BB144" i="4"/>
  <c r="AC144" i="4"/>
  <c r="AJ144" i="4"/>
  <c r="AV84" i="4"/>
  <c r="AX84" i="4"/>
  <c r="BT84" i="4" s="1"/>
  <c r="AG31" i="4"/>
  <c r="BC31" i="4" s="1"/>
  <c r="AD31" i="4"/>
  <c r="AZ31" i="4" s="1"/>
  <c r="BK163" i="4"/>
  <c r="BP163" i="4"/>
  <c r="AP163" i="4"/>
  <c r="AE163" i="4"/>
  <c r="BP148" i="4"/>
  <c r="BS148" i="4"/>
  <c r="AE148" i="4"/>
  <c r="AW148" i="4"/>
  <c r="AP26" i="4"/>
  <c r="BL26" i="4" s="1"/>
  <c r="AD26" i="4"/>
  <c r="AZ26" i="4" s="1"/>
  <c r="AI117" i="4"/>
  <c r="BE117" i="4" s="1"/>
  <c r="AN86" i="4"/>
  <c r="BJ86" i="4" s="1"/>
  <c r="AR86" i="4"/>
  <c r="AG166" i="4"/>
  <c r="BC169" i="4"/>
  <c r="AX169" i="4"/>
  <c r="AJ68" i="4"/>
  <c r="BF68" i="4" s="1"/>
  <c r="AD48" i="4"/>
  <c r="AZ48" i="4" s="1"/>
  <c r="BE144" i="4"/>
  <c r="AI144" i="4"/>
  <c r="AQ144" i="4"/>
  <c r="AG22" i="4"/>
  <c r="BC22" i="4" s="1"/>
  <c r="AL9" i="4"/>
  <c r="AP84" i="4"/>
  <c r="BL84" i="4" s="1"/>
  <c r="AO31" i="4"/>
  <c r="BK31" i="4" s="1"/>
  <c r="AM31" i="4"/>
  <c r="BI31" i="4" s="1"/>
  <c r="BO163" i="4"/>
  <c r="BD163" i="4"/>
  <c r="AX163" i="4"/>
  <c r="AM163" i="4"/>
  <c r="BG148" i="4"/>
  <c r="BF148" i="4"/>
  <c r="AG148" i="4"/>
  <c r="AP148" i="4"/>
  <c r="AQ26" i="4"/>
  <c r="BM26" i="4" s="1"/>
  <c r="AM26" i="4"/>
  <c r="BI26" i="4" s="1"/>
  <c r="AT86" i="4"/>
  <c r="AS86" i="4"/>
  <c r="BO86" i="4" s="1"/>
  <c r="AT48" i="4"/>
  <c r="BP48" i="4" s="1"/>
  <c r="BD144" i="4"/>
  <c r="BN144" i="4"/>
  <c r="AF144" i="4"/>
  <c r="AK84" i="4"/>
  <c r="BG84" i="4" s="1"/>
  <c r="AH31" i="4"/>
  <c r="BD31" i="4" s="1"/>
  <c r="AE31" i="4"/>
  <c r="BF163" i="4"/>
  <c r="BL163" i="4"/>
  <c r="AI163" i="4"/>
  <c r="AF163" i="4"/>
  <c r="BL148" i="4"/>
  <c r="BQ148" i="4"/>
  <c r="AL148" i="4"/>
  <c r="AJ148" i="4"/>
  <c r="AX148" i="4"/>
  <c r="AS26" i="4"/>
  <c r="BO26" i="4" s="1"/>
  <c r="AV26" i="4"/>
  <c r="BR26" i="4" s="1"/>
  <c r="AD86" i="4"/>
  <c r="AZ86" i="4" s="1"/>
  <c r="AP86" i="4"/>
  <c r="BL86" i="4" s="1"/>
  <c r="AZ144" i="4"/>
  <c r="AG144" i="4"/>
  <c r="AS144" i="4"/>
  <c r="AE84" i="4"/>
  <c r="BA84" i="4" s="1"/>
  <c r="AK31" i="4"/>
  <c r="BG31" i="4" s="1"/>
  <c r="AN31" i="4"/>
  <c r="BJ31" i="4" s="1"/>
  <c r="BN163" i="4"/>
  <c r="BQ163" i="4"/>
  <c r="BT163" i="4"/>
  <c r="AQ163" i="4"/>
  <c r="AV163" i="4"/>
  <c r="BO148" i="4"/>
  <c r="BR148" i="4"/>
  <c r="AQ148" i="4"/>
  <c r="AK148" i="4"/>
  <c r="AI26" i="4"/>
  <c r="BE26" i="4" s="1"/>
  <c r="AE26" i="4"/>
  <c r="BA26" i="4" s="1"/>
  <c r="AF86" i="4"/>
  <c r="AX86" i="4"/>
  <c r="BT86" i="4" s="1"/>
  <c r="BT144" i="4"/>
  <c r="AT144" i="4"/>
  <c r="AE144" i="4"/>
  <c r="AW84" i="4"/>
  <c r="BS84" i="4" s="1"/>
  <c r="AX31" i="4"/>
  <c r="BT31" i="4" s="1"/>
  <c r="AT31" i="4"/>
  <c r="BP31" i="4" s="1"/>
  <c r="AW31" i="4"/>
  <c r="BS31" i="4" s="1"/>
  <c r="AZ163" i="4"/>
  <c r="BH163" i="4"/>
  <c r="AW163" i="4"/>
  <c r="AS163" i="4"/>
  <c r="BC148" i="4"/>
  <c r="AY148" i="4"/>
  <c r="AC148" i="4"/>
  <c r="AS148" i="4"/>
  <c r="AR26" i="4"/>
  <c r="AX26" i="4"/>
  <c r="BT26" i="4" s="1"/>
  <c r="AG117" i="4"/>
  <c r="BC117" i="4" s="1"/>
  <c r="AW86" i="4"/>
  <c r="BS86" i="4" s="1"/>
  <c r="AO86" i="4"/>
  <c r="BK86" i="4" s="1"/>
  <c r="BC166" i="4"/>
  <c r="AF169" i="4"/>
  <c r="AV68" i="4"/>
  <c r="BA144" i="4"/>
  <c r="AV144" i="4"/>
  <c r="AP144" i="4"/>
  <c r="AE51" i="4"/>
  <c r="BA51" i="4" s="1"/>
  <c r="AP22" i="4"/>
  <c r="BL22" i="4" s="1"/>
  <c r="AF126" i="4"/>
  <c r="BB126" i="4" s="1"/>
  <c r="AV9" i="4"/>
  <c r="BR9" i="4" s="1"/>
  <c r="AS84" i="4"/>
  <c r="BO84" i="4" s="1"/>
  <c r="AF84" i="4"/>
  <c r="BB84" i="4" s="1"/>
  <c r="J61" i="4"/>
  <c r="N61" i="4" s="1"/>
  <c r="BO144" i="4"/>
  <c r="BP144" i="4"/>
  <c r="AD144" i="4"/>
  <c r="AR144" i="4"/>
  <c r="AX51" i="4"/>
  <c r="BT51" i="4" s="1"/>
  <c r="AM22" i="4"/>
  <c r="BI22" i="4" s="1"/>
  <c r="AO46" i="4"/>
  <c r="AH126" i="4"/>
  <c r="AW9" i="4"/>
  <c r="AM84" i="4"/>
  <c r="BI84" i="4" s="1"/>
  <c r="AH84" i="4"/>
  <c r="BD84" i="4" s="1"/>
  <c r="J44" i="4"/>
  <c r="N44" i="4" s="1"/>
  <c r="P44" i="4" s="1"/>
  <c r="AI51" i="4"/>
  <c r="BE51" i="4" s="1"/>
  <c r="BS168" i="4"/>
  <c r="AW91" i="4"/>
  <c r="BS91" i="4" s="1"/>
  <c r="AJ22" i="4"/>
  <c r="BF22" i="4" s="1"/>
  <c r="AN126" i="4"/>
  <c r="BJ126" i="4" s="1"/>
  <c r="AE9" i="4"/>
  <c r="BA9" i="4" s="1"/>
  <c r="AS31" i="4"/>
  <c r="BO31" i="4" s="1"/>
  <c r="AR31" i="4"/>
  <c r="BN31" i="4" s="1"/>
  <c r="AO47" i="4"/>
  <c r="BK47" i="4" s="1"/>
  <c r="AI79" i="4"/>
  <c r="AC79" i="4"/>
  <c r="AY79" i="4" s="1"/>
  <c r="AT127" i="4"/>
  <c r="BP127" i="4" s="1"/>
  <c r="BP135" i="4"/>
  <c r="BA135" i="4"/>
  <c r="BT135" i="4"/>
  <c r="AQ135" i="4"/>
  <c r="AT34" i="4"/>
  <c r="BP34" i="4" s="1"/>
  <c r="AC66" i="4"/>
  <c r="AS66" i="4"/>
  <c r="BO66" i="4" s="1"/>
  <c r="BG146" i="4"/>
  <c r="AY146" i="4"/>
  <c r="AR146" i="4"/>
  <c r="BG154" i="4"/>
  <c r="BI154" i="4"/>
  <c r="BB154" i="4"/>
  <c r="AE154" i="4"/>
  <c r="BC163" i="4"/>
  <c r="AY163" i="4"/>
  <c r="AG163" i="4"/>
  <c r="AK163" i="4"/>
  <c r="AU6" i="4"/>
  <c r="BQ6" i="4" s="1"/>
  <c r="AM102" i="4"/>
  <c r="BI102" i="4" s="1"/>
  <c r="BT150" i="4"/>
  <c r="BB148" i="4"/>
  <c r="BH148" i="4"/>
  <c r="BN148" i="4"/>
  <c r="AR148" i="4"/>
  <c r="AE10" i="4"/>
  <c r="BA10" i="4" s="1"/>
  <c r="AK26" i="4"/>
  <c r="BG26" i="4" s="1"/>
  <c r="AT21" i="4"/>
  <c r="BP21" i="4" s="1"/>
  <c r="AR21" i="4"/>
  <c r="BN21" i="4" s="1"/>
  <c r="AP85" i="4"/>
  <c r="BL85" i="4" s="1"/>
  <c r="BC171" i="4"/>
  <c r="AU86" i="4"/>
  <c r="AV86" i="4"/>
  <c r="BR86" i="4" s="1"/>
  <c r="AO118" i="4"/>
  <c r="BK118" i="4" s="1"/>
  <c r="AZ164" i="4"/>
  <c r="BT164" i="4"/>
  <c r="AR164" i="4"/>
  <c r="BI144" i="4"/>
  <c r="BM144" i="4"/>
  <c r="AW144" i="4"/>
  <c r="AM46" i="4"/>
  <c r="BI46" i="4" s="1"/>
  <c r="AC126" i="4"/>
  <c r="AY126" i="4" s="1"/>
  <c r="AR84" i="4"/>
  <c r="BN84" i="4" s="1"/>
  <c r="AU163" i="4"/>
  <c r="AC163" i="4"/>
  <c r="AJ163" i="4"/>
  <c r="BS163" i="4"/>
  <c r="BE163" i="4"/>
  <c r="BM163" i="4"/>
  <c r="AM144" i="4"/>
  <c r="AU144" i="4"/>
  <c r="AL144" i="4"/>
  <c r="BG144" i="4"/>
  <c r="BJ144" i="4"/>
  <c r="BQ144" i="4"/>
  <c r="AJ86" i="4"/>
  <c r="BF86" i="4" s="1"/>
  <c r="AM86" i="4"/>
  <c r="BI86" i="4" s="1"/>
  <c r="AE86" i="4"/>
  <c r="BA86" i="4" s="1"/>
  <c r="AO26" i="4"/>
  <c r="BK26" i="4" s="1"/>
  <c r="AU26" i="4"/>
  <c r="BQ26" i="4" s="1"/>
  <c r="AJ26" i="4"/>
  <c r="BF26" i="4" s="1"/>
  <c r="AO148" i="4"/>
  <c r="AH148" i="4"/>
  <c r="AT148" i="4"/>
  <c r="BT148" i="4"/>
  <c r="BE148" i="4"/>
  <c r="BM148" i="4"/>
  <c r="AL84" i="4"/>
  <c r="BH84" i="4" s="1"/>
  <c r="AD84" i="4"/>
  <c r="AZ84" i="4" s="1"/>
  <c r="AU84" i="4"/>
  <c r="BQ84" i="4" s="1"/>
  <c r="AI84" i="4"/>
  <c r="BE84" i="4" s="1"/>
  <c r="AO10" i="4"/>
  <c r="BK10" i="4" s="1"/>
  <c r="AK10" i="4"/>
  <c r="BG10" i="4" s="1"/>
  <c r="AQ10" i="4"/>
  <c r="BM10" i="4" s="1"/>
  <c r="AO6" i="4"/>
  <c r="BK6" i="4" s="1"/>
  <c r="AL6" i="4"/>
  <c r="BH6" i="4" s="1"/>
  <c r="AQ6" i="4"/>
  <c r="BM6" i="4" s="1"/>
  <c r="AQ118" i="4"/>
  <c r="BM118" i="4" s="1"/>
  <c r="AJ118" i="4"/>
  <c r="BF118" i="4" s="1"/>
  <c r="AT118" i="4"/>
  <c r="AL154" i="4"/>
  <c r="AI154" i="4"/>
  <c r="AU154" i="4"/>
  <c r="BO154" i="4"/>
  <c r="BT154" i="4"/>
  <c r="BN154" i="4"/>
  <c r="AX21" i="4"/>
  <c r="BT21" i="4" s="1"/>
  <c r="AC21" i="4"/>
  <c r="AK21" i="4"/>
  <c r="AG164" i="4"/>
  <c r="AX164" i="4"/>
  <c r="AS164" i="4"/>
  <c r="BO164" i="4"/>
  <c r="BD164" i="4"/>
  <c r="AD146" i="4"/>
  <c r="AU146" i="4"/>
  <c r="BR146" i="4"/>
  <c r="BA146" i="4"/>
  <c r="BF146" i="4"/>
  <c r="AR22" i="4"/>
  <c r="BN22" i="4" s="1"/>
  <c r="AO22" i="4"/>
  <c r="BK22" i="4" s="1"/>
  <c r="AQ22" i="4"/>
  <c r="BM22" i="4" s="1"/>
  <c r="AI126" i="4"/>
  <c r="AU126" i="4"/>
  <c r="BQ126" i="4" s="1"/>
  <c r="AM9" i="4"/>
  <c r="BI9" i="4" s="1"/>
  <c r="AN9" i="4"/>
  <c r="BJ9" i="4" s="1"/>
  <c r="AF85" i="4"/>
  <c r="BB85" i="4" s="1"/>
  <c r="AS85" i="4"/>
  <c r="BO85" i="4" s="1"/>
  <c r="AC85" i="4"/>
  <c r="AY85" i="4" s="1"/>
  <c r="AH66" i="4"/>
  <c r="BD66" i="4" s="1"/>
  <c r="AT66" i="4"/>
  <c r="AG66" i="4"/>
  <c r="BC66" i="4" s="1"/>
  <c r="AQ106" i="4"/>
  <c r="BM106" i="4" s="1"/>
  <c r="AP106" i="4"/>
  <c r="BL106" i="4" s="1"/>
  <c r="AX127" i="4"/>
  <c r="BT127" i="4" s="1"/>
  <c r="AD127" i="4"/>
  <c r="AZ127" i="4" s="1"/>
  <c r="AQ127" i="4"/>
  <c r="BM127" i="4" s="1"/>
  <c r="AG69" i="4"/>
  <c r="BC69" i="4" s="1"/>
  <c r="AP69" i="4"/>
  <c r="BL69" i="4" s="1"/>
  <c r="AT69" i="4"/>
  <c r="BP69" i="4" s="1"/>
  <c r="AK150" i="4"/>
  <c r="AL150" i="4"/>
  <c r="AU150" i="4"/>
  <c r="BI150" i="4"/>
  <c r="AF49" i="4"/>
  <c r="BB49" i="4" s="1"/>
  <c r="AM49" i="4"/>
  <c r="BI49" i="4" s="1"/>
  <c r="AM88" i="4"/>
  <c r="AQ88" i="4"/>
  <c r="BM88" i="4" s="1"/>
  <c r="AL135" i="4"/>
  <c r="AG135" i="4"/>
  <c r="BD135" i="4"/>
  <c r="BJ135" i="4"/>
  <c r="BQ135" i="4"/>
  <c r="AY136" i="4"/>
  <c r="BN136" i="4"/>
  <c r="AQ136" i="4"/>
  <c r="AX15" i="4"/>
  <c r="BT15" i="4" s="1"/>
  <c r="AJ15" i="4"/>
  <c r="BF15" i="4" s="1"/>
  <c r="AV15" i="4"/>
  <c r="BR15" i="4" s="1"/>
  <c r="BK139" i="4"/>
  <c r="BQ139" i="4"/>
  <c r="BP139" i="4"/>
  <c r="AV139" i="4"/>
  <c r="AQ139" i="4"/>
  <c r="AX139" i="4"/>
  <c r="AK70" i="4"/>
  <c r="BG70" i="4" s="1"/>
  <c r="AV70" i="4"/>
  <c r="BR70" i="4" s="1"/>
  <c r="AW70" i="4"/>
  <c r="BS70" i="4" s="1"/>
  <c r="AR117" i="4"/>
  <c r="BN117" i="4" s="1"/>
  <c r="AU117" i="4"/>
  <c r="BQ117" i="4" s="1"/>
  <c r="AW117" i="4"/>
  <c r="BS117" i="4" s="1"/>
  <c r="BI166" i="4"/>
  <c r="BM166" i="4"/>
  <c r="BL166" i="4"/>
  <c r="AM166" i="4"/>
  <c r="AO166" i="4"/>
  <c r="AS166" i="4"/>
  <c r="AZ169" i="4"/>
  <c r="BP169" i="4"/>
  <c r="BT169" i="4"/>
  <c r="AK169" i="4"/>
  <c r="AM169" i="4"/>
  <c r="AI169" i="4"/>
  <c r="AE68" i="4"/>
  <c r="BA68" i="4" s="1"/>
  <c r="AM68" i="4"/>
  <c r="BI68" i="4" s="1"/>
  <c r="AS68" i="4"/>
  <c r="BO68" i="4" s="1"/>
  <c r="AK67" i="4"/>
  <c r="BG67" i="4" s="1"/>
  <c r="AD22" i="4"/>
  <c r="AZ22" i="4" s="1"/>
  <c r="AX22" i="4"/>
  <c r="BT22" i="4" s="1"/>
  <c r="AF46" i="4"/>
  <c r="BB46" i="4" s="1"/>
  <c r="AM126" i="4"/>
  <c r="BI126" i="4" s="1"/>
  <c r="AQ126" i="4"/>
  <c r="BM126" i="4" s="1"/>
  <c r="AI9" i="4"/>
  <c r="BE9" i="4" s="1"/>
  <c r="AH9" i="4"/>
  <c r="BD9" i="4" s="1"/>
  <c r="AC15" i="4"/>
  <c r="AY15" i="4" s="1"/>
  <c r="AW15" i="4"/>
  <c r="BS15" i="4" s="1"/>
  <c r="AI15" i="4"/>
  <c r="BE15" i="4" s="1"/>
  <c r="BM139" i="4"/>
  <c r="BH139" i="4"/>
  <c r="AJ139" i="4"/>
  <c r="AM139" i="4"/>
  <c r="AG139" i="4"/>
  <c r="AQ70" i="4"/>
  <c r="BM70" i="4" s="1"/>
  <c r="AJ70" i="4"/>
  <c r="BF70" i="4" s="1"/>
  <c r="AP70" i="4"/>
  <c r="BL70" i="4" s="1"/>
  <c r="AX117" i="4"/>
  <c r="BT117" i="4" s="1"/>
  <c r="AD117" i="4"/>
  <c r="AZ117" i="4" s="1"/>
  <c r="BK166" i="4"/>
  <c r="BA166" i="4"/>
  <c r="BE166" i="4"/>
  <c r="AP166" i="4"/>
  <c r="AW166" i="4"/>
  <c r="AD166" i="4"/>
  <c r="BH169" i="4"/>
  <c r="BD169" i="4"/>
  <c r="BF169" i="4"/>
  <c r="AN169" i="4"/>
  <c r="AU169" i="4"/>
  <c r="AQ169" i="4"/>
  <c r="AI68" i="4"/>
  <c r="BE68" i="4" s="1"/>
  <c r="AX68" i="4"/>
  <c r="BT68" i="4" s="1"/>
  <c r="AD68" i="4"/>
  <c r="AZ68" i="4" s="1"/>
  <c r="AL22" i="4"/>
  <c r="BH22" i="4" s="1"/>
  <c r="AI22" i="4"/>
  <c r="BE22" i="4" s="1"/>
  <c r="AU46" i="4"/>
  <c r="BQ46" i="4" s="1"/>
  <c r="AE126" i="4"/>
  <c r="BA126" i="4" s="1"/>
  <c r="AR9" i="4"/>
  <c r="BN9" i="4" s="1"/>
  <c r="AQ9" i="4"/>
  <c r="BM9" i="4" s="1"/>
  <c r="AE41" i="4"/>
  <c r="BA41" i="4" s="1"/>
  <c r="AR15" i="4"/>
  <c r="BN15" i="4" s="1"/>
  <c r="AF15" i="4"/>
  <c r="BB15" i="4" s="1"/>
  <c r="AQ15" i="4"/>
  <c r="BM15" i="4" s="1"/>
  <c r="AD143" i="4"/>
  <c r="BJ139" i="4"/>
  <c r="AI139" i="4"/>
  <c r="BD139" i="4"/>
  <c r="AW139" i="4"/>
  <c r="AR139" i="4"/>
  <c r="AM70" i="4"/>
  <c r="BI70" i="4" s="1"/>
  <c r="AR70" i="4"/>
  <c r="BN70" i="4" s="1"/>
  <c r="AX70" i="4"/>
  <c r="BT70" i="4" s="1"/>
  <c r="AJ117" i="4"/>
  <c r="BF117" i="4" s="1"/>
  <c r="AM117" i="4"/>
  <c r="BS166" i="4"/>
  <c r="BO166" i="4"/>
  <c r="BN166" i="4"/>
  <c r="AU166" i="4"/>
  <c r="AI166" i="4"/>
  <c r="AL166" i="4"/>
  <c r="BK169" i="4"/>
  <c r="BS169" i="4"/>
  <c r="BO169" i="4"/>
  <c r="AS169" i="4"/>
  <c r="AG169" i="4"/>
  <c r="AJ169" i="4"/>
  <c r="AF68" i="4"/>
  <c r="BB68" i="4" s="1"/>
  <c r="AN68" i="4"/>
  <c r="BJ68" i="4" s="1"/>
  <c r="AL68" i="4"/>
  <c r="BH68" i="4" s="1"/>
  <c r="AE15" i="4"/>
  <c r="BA15" i="4" s="1"/>
  <c r="AP15" i="4"/>
  <c r="BL15" i="4" s="1"/>
  <c r="BN139" i="4"/>
  <c r="BR139" i="4"/>
  <c r="BL139" i="4"/>
  <c r="AD139" i="4"/>
  <c r="AC139" i="4"/>
  <c r="AD70" i="4"/>
  <c r="AC70" i="4"/>
  <c r="AY70" i="4" s="1"/>
  <c r="AE117" i="4"/>
  <c r="BA117" i="4" s="1"/>
  <c r="AS117" i="4"/>
  <c r="BO117" i="4" s="1"/>
  <c r="AV117" i="4"/>
  <c r="BR117" i="4" s="1"/>
  <c r="BT166" i="4"/>
  <c r="BD166" i="4"/>
  <c r="BB166" i="4"/>
  <c r="AX166" i="4"/>
  <c r="AQ166" i="4"/>
  <c r="AT166" i="4"/>
  <c r="BL169" i="4"/>
  <c r="BE169" i="4"/>
  <c r="BA169" i="4"/>
  <c r="AV169" i="4"/>
  <c r="AO169" i="4"/>
  <c r="AR169" i="4"/>
  <c r="AR68" i="4"/>
  <c r="BN68" i="4" s="1"/>
  <c r="AC68" i="4"/>
  <c r="AY68" i="4" s="1"/>
  <c r="AT68" i="4"/>
  <c r="BP68" i="4" s="1"/>
  <c r="AT15" i="4"/>
  <c r="BP15" i="4" s="1"/>
  <c r="AH15" i="4"/>
  <c r="BD15" i="4" s="1"/>
  <c r="AZ139" i="4"/>
  <c r="AY139" i="4"/>
  <c r="BT139" i="4"/>
  <c r="AN139" i="4"/>
  <c r="AK139" i="4"/>
  <c r="AS70" i="4"/>
  <c r="BO70" i="4" s="1"/>
  <c r="AL70" i="4"/>
  <c r="BH70" i="4" s="1"/>
  <c r="AH117" i="4"/>
  <c r="BD117" i="4" s="1"/>
  <c r="AK117" i="4"/>
  <c r="BG117" i="4" s="1"/>
  <c r="AF117" i="4"/>
  <c r="BB117" i="4" s="1"/>
  <c r="AY166" i="4"/>
  <c r="BP166" i="4"/>
  <c r="BJ166" i="4"/>
  <c r="AF166" i="4"/>
  <c r="AJ166" i="4"/>
  <c r="BM169" i="4"/>
  <c r="BG169" i="4"/>
  <c r="BI169" i="4"/>
  <c r="AD169" i="4"/>
  <c r="AW169" i="4"/>
  <c r="AH68" i="4"/>
  <c r="AO68" i="4"/>
  <c r="BK68" i="4" s="1"/>
  <c r="AK15" i="4"/>
  <c r="BG15" i="4" s="1"/>
  <c r="AG15" i="4"/>
  <c r="BC15" i="4" s="1"/>
  <c r="BB139" i="4"/>
  <c r="BE139" i="4"/>
  <c r="BI139" i="4"/>
  <c r="AU139" i="4"/>
  <c r="AE139" i="4"/>
  <c r="AF70" i="4"/>
  <c r="BB70" i="4" s="1"/>
  <c r="AN117" i="4"/>
  <c r="BJ117" i="4" s="1"/>
  <c r="AT117" i="4"/>
  <c r="BP117" i="4" s="1"/>
  <c r="BG166" i="4"/>
  <c r="BF166" i="4"/>
  <c r="BR166" i="4"/>
  <c r="AN166" i="4"/>
  <c r="BB169" i="4"/>
  <c r="BR169" i="4"/>
  <c r="BQ169" i="4"/>
  <c r="AL169" i="4"/>
  <c r="AU68" i="4"/>
  <c r="BQ68" i="4" s="1"/>
  <c r="AQ32" i="4"/>
  <c r="BM32" i="4" s="1"/>
  <c r="AL143" i="4"/>
  <c r="AI164" i="4"/>
  <c r="AU164" i="4"/>
  <c r="BH136" i="4"/>
  <c r="BR136" i="4"/>
  <c r="AD136" i="4"/>
  <c r="AM136" i="4"/>
  <c r="BH144" i="4"/>
  <c r="BK144" i="4"/>
  <c r="BF144" i="4"/>
  <c r="AN144" i="4"/>
  <c r="AO91" i="4"/>
  <c r="AH22" i="4"/>
  <c r="BD22" i="4" s="1"/>
  <c r="AS22" i="4"/>
  <c r="BO22" i="4" s="1"/>
  <c r="AD46" i="4"/>
  <c r="AZ46" i="4" s="1"/>
  <c r="AV126" i="4"/>
  <c r="BR126" i="4" s="1"/>
  <c r="AS126" i="4"/>
  <c r="BO126" i="4" s="1"/>
  <c r="AT9" i="4"/>
  <c r="BP9" i="4" s="1"/>
  <c r="AK9" i="4"/>
  <c r="BG9" i="4" s="1"/>
  <c r="AU9" i="4"/>
  <c r="BQ9" i="4" s="1"/>
  <c r="AG84" i="4"/>
  <c r="BC84" i="4" s="1"/>
  <c r="AN84" i="4"/>
  <c r="BJ84" i="4" s="1"/>
  <c r="AV143" i="4"/>
  <c r="BR158" i="4"/>
  <c r="AC107" i="4"/>
  <c r="AY107" i="4" s="1"/>
  <c r="AU7" i="4"/>
  <c r="BQ7" i="4" s="1"/>
  <c r="BQ143" i="4"/>
  <c r="AC7" i="4"/>
  <c r="AY7" i="4" s="1"/>
  <c r="AZ143" i="4"/>
  <c r="AL52" i="4"/>
  <c r="BH52" i="4" s="1"/>
  <c r="AX7" i="4"/>
  <c r="BT7" i="4" s="1"/>
  <c r="BA143" i="4"/>
  <c r="AV7" i="4"/>
  <c r="BR7" i="4" s="1"/>
  <c r="AS7" i="4"/>
  <c r="BO7" i="4" s="1"/>
  <c r="AI7" i="4"/>
  <c r="BE7" i="4" s="1"/>
  <c r="BR143" i="4"/>
  <c r="BK143" i="4"/>
  <c r="BJ143" i="4"/>
  <c r="AE143" i="4"/>
  <c r="AM143" i="4"/>
  <c r="AH143" i="4"/>
  <c r="AG54" i="4"/>
  <c r="BC54" i="4" s="1"/>
  <c r="AU51" i="4"/>
  <c r="BQ51" i="4" s="1"/>
  <c r="AY158" i="4"/>
  <c r="AX158" i="4"/>
  <c r="AW7" i="4"/>
  <c r="BS7" i="4" s="1"/>
  <c r="AD7" i="4"/>
  <c r="AZ7" i="4" s="1"/>
  <c r="AQ7" i="4"/>
  <c r="BM7" i="4" s="1"/>
  <c r="AY143" i="4"/>
  <c r="BB143" i="4"/>
  <c r="BS143" i="4"/>
  <c r="AG143" i="4"/>
  <c r="AO143" i="4"/>
  <c r="AP143" i="4"/>
  <c r="AR54" i="4"/>
  <c r="BN54" i="4" s="1"/>
  <c r="AE118" i="4"/>
  <c r="BA118" i="4" s="1"/>
  <c r="AF118" i="4"/>
  <c r="BB118" i="4" s="1"/>
  <c r="AS118" i="4"/>
  <c r="BO118" i="4" s="1"/>
  <c r="BP164" i="4"/>
  <c r="BQ164" i="4"/>
  <c r="BL164" i="4"/>
  <c r="AQ164" i="4"/>
  <c r="AM164" i="4"/>
  <c r="AH164" i="4"/>
  <c r="BD136" i="4"/>
  <c r="BS136" i="4"/>
  <c r="AZ136" i="4"/>
  <c r="AW136" i="4"/>
  <c r="AG136" i="4"/>
  <c r="AU136" i="4"/>
  <c r="AL51" i="4"/>
  <c r="BH51" i="4" s="1"/>
  <c r="AF22" i="4"/>
  <c r="BB22" i="4" s="1"/>
  <c r="AU22" i="4"/>
  <c r="BQ22" i="4" s="1"/>
  <c r="AK22" i="4"/>
  <c r="BG22" i="4" s="1"/>
  <c r="AD126" i="4"/>
  <c r="AZ126" i="4" s="1"/>
  <c r="AX126" i="4"/>
  <c r="BT126" i="4" s="1"/>
  <c r="BT158" i="4"/>
  <c r="AF158" i="4"/>
  <c r="AS9" i="4"/>
  <c r="BO9" i="4" s="1"/>
  <c r="AD9" i="4"/>
  <c r="AZ9" i="4" s="1"/>
  <c r="L99" i="4"/>
  <c r="Q99" i="4" s="1"/>
  <c r="AE7" i="4"/>
  <c r="BA7" i="4" s="1"/>
  <c r="AN7" i="4"/>
  <c r="BJ7" i="4" s="1"/>
  <c r="BF143" i="4"/>
  <c r="BM143" i="4"/>
  <c r="BD143" i="4"/>
  <c r="AT143" i="4"/>
  <c r="AC143" i="4"/>
  <c r="AX143" i="4"/>
  <c r="AC54" i="4"/>
  <c r="AY54" i="4" s="1"/>
  <c r="AN51" i="4"/>
  <c r="BJ51" i="4" s="1"/>
  <c r="BH158" i="4"/>
  <c r="AP158" i="4"/>
  <c r="AJ52" i="4"/>
  <c r="BF52" i="4" s="1"/>
  <c r="AH7" i="4"/>
  <c r="BD7" i="4" s="1"/>
  <c r="AG7" i="4"/>
  <c r="BC7" i="4" s="1"/>
  <c r="BG143" i="4"/>
  <c r="BC143" i="4"/>
  <c r="BL143" i="4"/>
  <c r="AI143" i="4"/>
  <c r="AK143" i="4"/>
  <c r="AN54" i="4"/>
  <c r="BJ54" i="4" s="1"/>
  <c r="BQ165" i="4"/>
  <c r="AZ158" i="4"/>
  <c r="AW158" i="4"/>
  <c r="AK105" i="4"/>
  <c r="BG105" i="4" s="1"/>
  <c r="AV52" i="4"/>
  <c r="BR52" i="4" s="1"/>
  <c r="AJ7" i="4"/>
  <c r="BF7" i="4" s="1"/>
  <c r="AL7" i="4"/>
  <c r="BH7" i="4" s="1"/>
  <c r="AR7" i="4"/>
  <c r="BN7" i="4" s="1"/>
  <c r="BH143" i="4"/>
  <c r="BN143" i="4"/>
  <c r="BT143" i="4"/>
  <c r="AU143" i="4"/>
  <c r="AS143" i="4"/>
  <c r="AP54" i="4"/>
  <c r="BL54" i="4" s="1"/>
  <c r="BR165" i="4"/>
  <c r="BG165" i="4"/>
  <c r="AQ51" i="4"/>
  <c r="BM51" i="4" s="1"/>
  <c r="AD107" i="4"/>
  <c r="AZ107" i="4" s="1"/>
  <c r="BK158" i="4"/>
  <c r="AR158" i="4"/>
  <c r="AE52" i="4"/>
  <c r="BA52" i="4" s="1"/>
  <c r="AK7" i="4"/>
  <c r="AM7" i="4"/>
  <c r="BI7" i="4" s="1"/>
  <c r="AF7" i="4"/>
  <c r="BB7" i="4" s="1"/>
  <c r="BI143" i="4"/>
  <c r="BE143" i="4"/>
  <c r="AQ143" i="4"/>
  <c r="AJ143" i="4"/>
  <c r="AF143" i="4"/>
  <c r="AH51" i="4"/>
  <c r="BD51" i="4" s="1"/>
  <c r="AX107" i="4"/>
  <c r="BT107" i="4" s="1"/>
  <c r="BG158" i="4"/>
  <c r="AD158" i="4"/>
  <c r="AG52" i="4"/>
  <c r="BC52" i="4" s="1"/>
  <c r="AT7" i="4"/>
  <c r="BP7" i="4" s="1"/>
  <c r="AP7" i="4"/>
  <c r="BL7" i="4" s="1"/>
  <c r="BP143" i="4"/>
  <c r="BO143" i="4"/>
  <c r="AR143" i="4"/>
  <c r="AW143" i="4"/>
  <c r="AV118" i="4"/>
  <c r="BR118" i="4" s="1"/>
  <c r="AH118" i="4"/>
  <c r="BD118" i="4" s="1"/>
  <c r="BJ164" i="4"/>
  <c r="BI164" i="4"/>
  <c r="AD164" i="4"/>
  <c r="AK164" i="4"/>
  <c r="AN64" i="4"/>
  <c r="BJ64" i="4" s="1"/>
  <c r="BQ136" i="4"/>
  <c r="BK136" i="4"/>
  <c r="AK136" i="4"/>
  <c r="AO136" i="4"/>
  <c r="AC51" i="4"/>
  <c r="AY51" i="4" s="1"/>
  <c r="AO51" i="4"/>
  <c r="BK51" i="4" s="1"/>
  <c r="AN83" i="4"/>
  <c r="BJ83" i="4" s="1"/>
  <c r="AV22" i="4"/>
  <c r="BR22" i="4" s="1"/>
  <c r="AR126" i="4"/>
  <c r="BN126" i="4" s="1"/>
  <c r="AW126" i="4"/>
  <c r="BS126" i="4" s="1"/>
  <c r="BP158" i="4"/>
  <c r="AL158" i="4"/>
  <c r="AK52" i="4"/>
  <c r="BG52" i="4" s="1"/>
  <c r="AG9" i="4"/>
  <c r="BC9" i="4" s="1"/>
  <c r="AP9" i="4"/>
  <c r="BL9" i="4" s="1"/>
  <c r="AX41" i="4"/>
  <c r="BT41" i="4" s="1"/>
  <c r="AH32" i="4"/>
  <c r="BD32" i="4" s="1"/>
  <c r="AC32" i="4"/>
  <c r="AY32" i="4" s="1"/>
  <c r="AS32" i="4"/>
  <c r="BO32" i="4" s="1"/>
  <c r="AV32" i="4"/>
  <c r="BR32" i="4" s="1"/>
  <c r="AX32" i="4"/>
  <c r="BT32" i="4" s="1"/>
  <c r="AL32" i="4"/>
  <c r="BH32" i="4" s="1"/>
  <c r="N75" i="4"/>
  <c r="N155" i="4"/>
  <c r="P155" i="4" s="1"/>
  <c r="M33" i="4"/>
  <c r="N42" i="4"/>
  <c r="N40" i="4"/>
  <c r="O50" i="4"/>
  <c r="AG106" i="4"/>
  <c r="BC106" i="4" s="1"/>
  <c r="AE106" i="4"/>
  <c r="BA106" i="4" s="1"/>
  <c r="AQ38" i="4"/>
  <c r="BM38" i="4" s="1"/>
  <c r="AL38" i="4"/>
  <c r="BH38" i="4" s="1"/>
  <c r="AF38" i="4"/>
  <c r="BB38" i="4" s="1"/>
  <c r="BN162" i="4"/>
  <c r="AU162" i="4"/>
  <c r="AL162" i="4"/>
  <c r="BB134" i="4"/>
  <c r="AQ64" i="4"/>
  <c r="BM64" i="4" s="1"/>
  <c r="AX64" i="4"/>
  <c r="BT64" i="4" s="1"/>
  <c r="AT64" i="4"/>
  <c r="BP64" i="4" s="1"/>
  <c r="AT83" i="4"/>
  <c r="BP83" i="4" s="1"/>
  <c r="AG41" i="4"/>
  <c r="BC41" i="4" s="1"/>
  <c r="AM41" i="4"/>
  <c r="BI41" i="4" s="1"/>
  <c r="AF8" i="4"/>
  <c r="BB8" i="4" s="1"/>
  <c r="N102" i="4"/>
  <c r="O61" i="4"/>
  <c r="N172" i="4"/>
  <c r="N13" i="4"/>
  <c r="O126" i="4"/>
  <c r="M132" i="4"/>
  <c r="N35" i="4"/>
  <c r="N29" i="4"/>
  <c r="O93" i="4"/>
  <c r="O55" i="4"/>
  <c r="AM106" i="4"/>
  <c r="BI106" i="4" s="1"/>
  <c r="AS106" i="4"/>
  <c r="BO106" i="4" s="1"/>
  <c r="AN106" i="4"/>
  <c r="BJ106" i="4" s="1"/>
  <c r="AR38" i="4"/>
  <c r="BN38" i="4" s="1"/>
  <c r="AU38" i="4"/>
  <c r="BQ38" i="4" s="1"/>
  <c r="AP38" i="4"/>
  <c r="BL38" i="4" s="1"/>
  <c r="BM162" i="4"/>
  <c r="AX162" i="4"/>
  <c r="BJ134" i="4"/>
  <c r="AH64" i="4"/>
  <c r="BD64" i="4" s="1"/>
  <c r="AE64" i="4"/>
  <c r="BA64" i="4" s="1"/>
  <c r="AD83" i="4"/>
  <c r="AZ83" i="4" s="1"/>
  <c r="AQ41" i="4"/>
  <c r="BM41" i="4" s="1"/>
  <c r="AU41" i="4"/>
  <c r="BQ41" i="4" s="1"/>
  <c r="K88" i="4"/>
  <c r="L44" i="4"/>
  <c r="Q44" i="4" s="1"/>
  <c r="O150" i="4"/>
  <c r="O48" i="4"/>
  <c r="AC106" i="4"/>
  <c r="AY106" i="4" s="1"/>
  <c r="AH106" i="4"/>
  <c r="BD106" i="4" s="1"/>
  <c r="AW106" i="4"/>
  <c r="BS106" i="4" s="1"/>
  <c r="AI38" i="4"/>
  <c r="BE38" i="4" s="1"/>
  <c r="AD38" i="4"/>
  <c r="AZ38" i="4" s="1"/>
  <c r="AG38" i="4"/>
  <c r="BC38" i="4" s="1"/>
  <c r="BF162" i="4"/>
  <c r="AE162" i="4"/>
  <c r="AK134" i="4"/>
  <c r="AR64" i="4"/>
  <c r="BN64" i="4" s="1"/>
  <c r="AO64" i="4"/>
  <c r="BK64" i="4" s="1"/>
  <c r="AH83" i="4"/>
  <c r="BD83" i="4" s="1"/>
  <c r="AS41" i="4"/>
  <c r="AF106" i="4"/>
  <c r="BB106" i="4" s="1"/>
  <c r="AU106" i="4"/>
  <c r="BQ106" i="4" s="1"/>
  <c r="AK106" i="4"/>
  <c r="BG106" i="4" s="1"/>
  <c r="AT38" i="4"/>
  <c r="BP38" i="4" s="1"/>
  <c r="AM38" i="4"/>
  <c r="BI38" i="4" s="1"/>
  <c r="AO38" i="4"/>
  <c r="BK38" i="4" s="1"/>
  <c r="BP162" i="4"/>
  <c r="AG162" i="4"/>
  <c r="BO134" i="4"/>
  <c r="AC134" i="4"/>
  <c r="AF64" i="4"/>
  <c r="BB64" i="4" s="1"/>
  <c r="AJ64" i="4"/>
  <c r="BF64" i="4" s="1"/>
  <c r="AC64" i="4"/>
  <c r="AY64" i="4" s="1"/>
  <c r="AI83" i="4"/>
  <c r="BE83" i="4" s="1"/>
  <c r="AK41" i="4"/>
  <c r="BG41" i="4" s="1"/>
  <c r="N117" i="4"/>
  <c r="O82" i="4"/>
  <c r="N87" i="4"/>
  <c r="L18" i="4"/>
  <c r="Q18" i="4" s="1"/>
  <c r="O109" i="4"/>
  <c r="N122" i="4"/>
  <c r="O63" i="4"/>
  <c r="O19" i="4"/>
  <c r="O145" i="4"/>
  <c r="AO106" i="4"/>
  <c r="BK106" i="4" s="1"/>
  <c r="AJ106" i="4"/>
  <c r="BF106" i="4" s="1"/>
  <c r="AT106" i="4"/>
  <c r="BP106" i="4" s="1"/>
  <c r="AH38" i="4"/>
  <c r="BD38" i="4" s="1"/>
  <c r="AV38" i="4"/>
  <c r="BR38" i="4" s="1"/>
  <c r="AW38" i="4"/>
  <c r="BS38" i="4" s="1"/>
  <c r="BG162" i="4"/>
  <c r="AO162" i="4"/>
  <c r="BQ134" i="4"/>
  <c r="AL134" i="4"/>
  <c r="AP64" i="4"/>
  <c r="BL64" i="4" s="1"/>
  <c r="AU64" i="4"/>
  <c r="BQ64" i="4" s="1"/>
  <c r="AM64" i="4"/>
  <c r="BI64" i="4" s="1"/>
  <c r="AI41" i="4"/>
  <c r="BE41" i="4" s="1"/>
  <c r="AT41" i="4"/>
  <c r="BP41" i="4" s="1"/>
  <c r="O47" i="4"/>
  <c r="O94" i="4"/>
  <c r="O108" i="4"/>
  <c r="J159" i="4"/>
  <c r="O30" i="4"/>
  <c r="O125" i="4"/>
  <c r="AR106" i="4"/>
  <c r="BN106" i="4" s="1"/>
  <c r="AV106" i="4"/>
  <c r="BR106" i="4" s="1"/>
  <c r="AI106" i="4"/>
  <c r="AJ38" i="4"/>
  <c r="BF38" i="4" s="1"/>
  <c r="AE38" i="4"/>
  <c r="BA38" i="4" s="1"/>
  <c r="BI162" i="4"/>
  <c r="AK162" i="4"/>
  <c r="BS134" i="4"/>
  <c r="AF134" i="4"/>
  <c r="AS64" i="4"/>
  <c r="AK64" i="4"/>
  <c r="AV64" i="4"/>
  <c r="BR64" i="4" s="1"/>
  <c r="AF41" i="4"/>
  <c r="BB41" i="4" s="1"/>
  <c r="AC41" i="4"/>
  <c r="AY41" i="4" s="1"/>
  <c r="O90" i="4"/>
  <c r="O11" i="4"/>
  <c r="N111" i="4"/>
  <c r="N28" i="4"/>
  <c r="AD106" i="4"/>
  <c r="AL106" i="4"/>
  <c r="BH106" i="4" s="1"/>
  <c r="AS38" i="4"/>
  <c r="BO38" i="4" s="1"/>
  <c r="BA162" i="4"/>
  <c r="BK134" i="4"/>
  <c r="AI64" i="4"/>
  <c r="BE64" i="4" s="1"/>
  <c r="AW64" i="4"/>
  <c r="BS64" i="4" s="1"/>
  <c r="AR41" i="4"/>
  <c r="BN41" i="4" s="1"/>
  <c r="K91" i="4"/>
  <c r="J91" i="4"/>
  <c r="M57" i="4"/>
  <c r="J65" i="4"/>
  <c r="M65" i="4"/>
  <c r="L65" i="4"/>
  <c r="Q65" i="4" s="1"/>
  <c r="I65" i="4"/>
  <c r="J105" i="4"/>
  <c r="K105" i="4"/>
  <c r="I73" i="4"/>
  <c r="M73" i="4"/>
  <c r="K131" i="4"/>
  <c r="J131" i="4"/>
  <c r="AH27" i="4"/>
  <c r="BD27" i="4" s="1"/>
  <c r="AD27" i="4"/>
  <c r="AZ27" i="4" s="1"/>
  <c r="AV27" i="4"/>
  <c r="BR27" i="4" s="1"/>
  <c r="AJ27" i="4"/>
  <c r="BF27" i="4" s="1"/>
  <c r="AM27" i="4"/>
  <c r="BI27" i="4" s="1"/>
  <c r="AR27" i="4"/>
  <c r="BN27" i="4" s="1"/>
  <c r="AS27" i="4"/>
  <c r="BO27" i="4" s="1"/>
  <c r="AN27" i="4"/>
  <c r="AE27" i="4"/>
  <c r="BA27" i="4" s="1"/>
  <c r="AL27" i="4"/>
  <c r="BH27" i="4" s="1"/>
  <c r="AO27" i="4"/>
  <c r="BK27" i="4" s="1"/>
  <c r="AK27" i="4"/>
  <c r="BG27" i="4" s="1"/>
  <c r="AR171" i="4"/>
  <c r="BF171" i="4"/>
  <c r="AV171" i="4"/>
  <c r="AJ171" i="4"/>
  <c r="BT171" i="4"/>
  <c r="AN171" i="4"/>
  <c r="BQ171" i="4"/>
  <c r="BJ171" i="4"/>
  <c r="AU171" i="4"/>
  <c r="BH171" i="4"/>
  <c r="AD171" i="4"/>
  <c r="BR171" i="4"/>
  <c r="AH171" i="4"/>
  <c r="BN171" i="4"/>
  <c r="AN168" i="4"/>
  <c r="AR168" i="4"/>
  <c r="BG168" i="4"/>
  <c r="BH168" i="4"/>
  <c r="BF168" i="4"/>
  <c r="AX168" i="4"/>
  <c r="AF168" i="4"/>
  <c r="AJ168" i="4"/>
  <c r="AY168" i="4"/>
  <c r="BN168" i="4"/>
  <c r="BE168" i="4"/>
  <c r="AW168" i="4"/>
  <c r="AE168" i="4"/>
  <c r="AL168" i="4"/>
  <c r="BA168" i="4"/>
  <c r="BL168" i="4"/>
  <c r="BT168" i="4"/>
  <c r="AO168" i="4"/>
  <c r="AS168" i="4"/>
  <c r="AI168" i="4"/>
  <c r="BK168" i="4"/>
  <c r="BI168" i="4"/>
  <c r="AC168" i="4"/>
  <c r="BR168" i="4"/>
  <c r="AP168" i="4"/>
  <c r="AT168" i="4"/>
  <c r="BB168" i="4"/>
  <c r="AH168" i="4"/>
  <c r="AQ168" i="4"/>
  <c r="BM168" i="4"/>
  <c r="AG168" i="4"/>
  <c r="AD168" i="4"/>
  <c r="BQ168" i="4"/>
  <c r="AV168" i="4"/>
  <c r="BO168" i="4"/>
  <c r="BP168" i="4"/>
  <c r="AM168" i="4"/>
  <c r="BJ168" i="4"/>
  <c r="BC168" i="4"/>
  <c r="AK168" i="4"/>
  <c r="AZ168" i="4"/>
  <c r="AO102" i="4"/>
  <c r="BK102" i="4" s="1"/>
  <c r="AV102" i="4"/>
  <c r="BR102" i="4" s="1"/>
  <c r="AP102" i="4"/>
  <c r="BL102" i="4" s="1"/>
  <c r="AE102" i="4"/>
  <c r="BA102" i="4" s="1"/>
  <c r="AL102" i="4"/>
  <c r="AF102" i="4"/>
  <c r="BB102" i="4" s="1"/>
  <c r="AX102" i="4"/>
  <c r="BT102" i="4" s="1"/>
  <c r="AS102" i="4"/>
  <c r="BO102" i="4" s="1"/>
  <c r="AN102" i="4"/>
  <c r="BJ102" i="4" s="1"/>
  <c r="AH102" i="4"/>
  <c r="BD102" i="4" s="1"/>
  <c r="AQ102" i="4"/>
  <c r="BM102" i="4" s="1"/>
  <c r="AD102" i="4"/>
  <c r="AZ102" i="4" s="1"/>
  <c r="AU102" i="4"/>
  <c r="AO34" i="4"/>
  <c r="BK34" i="4" s="1"/>
  <c r="AJ34" i="4"/>
  <c r="BF34" i="4" s="1"/>
  <c r="AH34" i="4"/>
  <c r="BD34" i="4" s="1"/>
  <c r="AG34" i="4"/>
  <c r="BC34" i="4" s="1"/>
  <c r="AR34" i="4"/>
  <c r="BN34" i="4" s="1"/>
  <c r="AE34" i="4"/>
  <c r="BA34" i="4" s="1"/>
  <c r="AU34" i="4"/>
  <c r="BQ34" i="4" s="1"/>
  <c r="AI34" i="4"/>
  <c r="AD34" i="4"/>
  <c r="AZ34" i="4" s="1"/>
  <c r="AL34" i="4"/>
  <c r="BH34" i="4" s="1"/>
  <c r="AP34" i="4"/>
  <c r="BL34" i="4" s="1"/>
  <c r="AX34" i="4"/>
  <c r="BT34" i="4" s="1"/>
  <c r="AC34" i="4"/>
  <c r="AY34" i="4" s="1"/>
  <c r="AF34" i="4"/>
  <c r="BB34" i="4" s="1"/>
  <c r="AQ34" i="4"/>
  <c r="BM34" i="4" s="1"/>
  <c r="AI98" i="4"/>
  <c r="AF98" i="4"/>
  <c r="BB98" i="4" s="1"/>
  <c r="AV98" i="4"/>
  <c r="BR98" i="4" s="1"/>
  <c r="AP98" i="4"/>
  <c r="BL98" i="4" s="1"/>
  <c r="AO98" i="4"/>
  <c r="BK98" i="4" s="1"/>
  <c r="AN98" i="4"/>
  <c r="BJ98" i="4" s="1"/>
  <c r="AG98" i="4"/>
  <c r="BC98" i="4" s="1"/>
  <c r="AE98" i="4"/>
  <c r="BA98" i="4" s="1"/>
  <c r="AL98" i="4"/>
  <c r="AT98" i="4"/>
  <c r="AW98" i="4"/>
  <c r="BS98" i="4" s="1"/>
  <c r="AK98" i="4"/>
  <c r="BG98" i="4" s="1"/>
  <c r="AJ98" i="4"/>
  <c r="BF98" i="4" s="1"/>
  <c r="AM98" i="4"/>
  <c r="BI98" i="4" s="1"/>
  <c r="AU98" i="4"/>
  <c r="BQ98" i="4" s="1"/>
  <c r="AP100" i="4"/>
  <c r="BL100" i="4" s="1"/>
  <c r="AK100" i="4"/>
  <c r="AL47" i="4"/>
  <c r="BH47" i="4" s="1"/>
  <c r="AS47" i="4"/>
  <c r="BO47" i="4" s="1"/>
  <c r="AN47" i="4"/>
  <c r="BJ47" i="4" s="1"/>
  <c r="AC47" i="4"/>
  <c r="AY47" i="4" s="1"/>
  <c r="AH47" i="4"/>
  <c r="BD47" i="4" s="1"/>
  <c r="AG47" i="4"/>
  <c r="BC47" i="4" s="1"/>
  <c r="AW47" i="4"/>
  <c r="AP47" i="4"/>
  <c r="AD47" i="4"/>
  <c r="AZ47" i="4" s="1"/>
  <c r="AM47" i="4"/>
  <c r="BI47" i="4" s="1"/>
  <c r="AF47" i="4"/>
  <c r="BB47" i="4" s="1"/>
  <c r="AV47" i="4"/>
  <c r="BR47" i="4" s="1"/>
  <c r="AE47" i="4"/>
  <c r="BA47" i="4" s="1"/>
  <c r="AM104" i="4"/>
  <c r="BI104" i="4" s="1"/>
  <c r="AK104" i="4"/>
  <c r="BG104" i="4" s="1"/>
  <c r="AH104" i="4"/>
  <c r="BD104" i="4" s="1"/>
  <c r="AE104" i="4"/>
  <c r="BA104" i="4" s="1"/>
  <c r="AT104" i="4"/>
  <c r="BP104" i="4" s="1"/>
  <c r="AF104" i="4"/>
  <c r="BB104" i="4" s="1"/>
  <c r="AC104" i="4"/>
  <c r="AY104" i="4" s="1"/>
  <c r="AI104" i="4"/>
  <c r="BE104" i="4" s="1"/>
  <c r="AP104" i="4"/>
  <c r="BL104" i="4" s="1"/>
  <c r="AX104" i="4"/>
  <c r="BT104" i="4" s="1"/>
  <c r="AQ104" i="4"/>
  <c r="AG104" i="4"/>
  <c r="BC104" i="4" s="1"/>
  <c r="AU104" i="4"/>
  <c r="BQ104" i="4" s="1"/>
  <c r="AO104" i="4"/>
  <c r="BK104" i="4" s="1"/>
  <c r="AV104" i="4"/>
  <c r="BR104" i="4" s="1"/>
  <c r="AD104" i="4"/>
  <c r="AZ104" i="4" s="1"/>
  <c r="AL104" i="4"/>
  <c r="BH104" i="4" s="1"/>
  <c r="AR104" i="4"/>
  <c r="BN104" i="4" s="1"/>
  <c r="AN104" i="4"/>
  <c r="AJ104" i="4"/>
  <c r="BF104" i="4" s="1"/>
  <c r="AS104" i="4"/>
  <c r="BO104" i="4" s="1"/>
  <c r="BA150" i="4"/>
  <c r="BQ150" i="4"/>
  <c r="AE150" i="4"/>
  <c r="AC150" i="4"/>
  <c r="AK49" i="4"/>
  <c r="BG49" i="4" s="1"/>
  <c r="AW49" i="4"/>
  <c r="AH69" i="4"/>
  <c r="BD69" i="4" s="1"/>
  <c r="AM69" i="4"/>
  <c r="BI69" i="4" s="1"/>
  <c r="AU69" i="4"/>
  <c r="BQ69" i="4" s="1"/>
  <c r="AN8" i="4"/>
  <c r="BJ8" i="4" s="1"/>
  <c r="AK91" i="4"/>
  <c r="BG91" i="4" s="1"/>
  <c r="AH91" i="4"/>
  <c r="BD91" i="4" s="1"/>
  <c r="AI46" i="4"/>
  <c r="BE46" i="4" s="1"/>
  <c r="AP46" i="4"/>
  <c r="BH150" i="4"/>
  <c r="BL150" i="4"/>
  <c r="AX150" i="4"/>
  <c r="AC49" i="4"/>
  <c r="AY49" i="4" s="1"/>
  <c r="AK69" i="4"/>
  <c r="BG69" i="4" s="1"/>
  <c r="AO69" i="4"/>
  <c r="BK69" i="4" s="1"/>
  <c r="AT91" i="4"/>
  <c r="BP91" i="4" s="1"/>
  <c r="AQ91" i="4"/>
  <c r="AR46" i="4"/>
  <c r="BN46" i="4" s="1"/>
  <c r="AU91" i="4"/>
  <c r="BQ91" i="4" s="1"/>
  <c r="BC158" i="4"/>
  <c r="AS91" i="4"/>
  <c r="BO91" i="4" s="1"/>
  <c r="AF91" i="4"/>
  <c r="BB91" i="4" s="1"/>
  <c r="AN91" i="4"/>
  <c r="BJ91" i="4" s="1"/>
  <c r="AI91" i="4"/>
  <c r="BE91" i="4" s="1"/>
  <c r="AV91" i="4"/>
  <c r="AL91" i="4"/>
  <c r="BH91" i="4" s="1"/>
  <c r="AP91" i="4"/>
  <c r="BL91" i="4" s="1"/>
  <c r="AE91" i="4"/>
  <c r="BA91" i="4" s="1"/>
  <c r="AG91" i="4"/>
  <c r="BC91" i="4" s="1"/>
  <c r="AC91" i="4"/>
  <c r="AY91" i="4" s="1"/>
  <c r="AV46" i="4"/>
  <c r="BR46" i="4" s="1"/>
  <c r="AH46" i="4"/>
  <c r="BD46" i="4" s="1"/>
  <c r="AX46" i="4"/>
  <c r="AL46" i="4"/>
  <c r="BH46" i="4" s="1"/>
  <c r="AS46" i="4"/>
  <c r="BO46" i="4" s="1"/>
  <c r="AG46" i="4"/>
  <c r="BC46" i="4" s="1"/>
  <c r="AK46" i="4"/>
  <c r="BG46" i="4" s="1"/>
  <c r="AE46" i="4"/>
  <c r="BA46" i="4" s="1"/>
  <c r="AW46" i="4"/>
  <c r="BS46" i="4" s="1"/>
  <c r="AT46" i="4"/>
  <c r="BP46" i="4" s="1"/>
  <c r="AQ46" i="4"/>
  <c r="AD88" i="4"/>
  <c r="AZ88" i="4" s="1"/>
  <c r="AK88" i="4"/>
  <c r="BG88" i="4" s="1"/>
  <c r="AO88" i="4"/>
  <c r="BK88" i="4" s="1"/>
  <c r="AN88" i="4"/>
  <c r="BJ88" i="4" s="1"/>
  <c r="AS8" i="4"/>
  <c r="BO8" i="4" s="1"/>
  <c r="AP8" i="4"/>
  <c r="BL8" i="4" s="1"/>
  <c r="AH8" i="4"/>
  <c r="BD8" i="4" s="1"/>
  <c r="AT8" i="4"/>
  <c r="BS150" i="4"/>
  <c r="BO150" i="4"/>
  <c r="AM150" i="4"/>
  <c r="AO150" i="4"/>
  <c r="AE49" i="4"/>
  <c r="BA49" i="4" s="1"/>
  <c r="AH49" i="4"/>
  <c r="BD49" i="4" s="1"/>
  <c r="AI69" i="4"/>
  <c r="BE69" i="4" s="1"/>
  <c r="AE69" i="4"/>
  <c r="AN69" i="4"/>
  <c r="BJ69" i="4" s="1"/>
  <c r="AH88" i="4"/>
  <c r="BD88" i="4" s="1"/>
  <c r="AD91" i="4"/>
  <c r="AZ91" i="4" s="1"/>
  <c r="AC46" i="4"/>
  <c r="AY46" i="4" s="1"/>
  <c r="AO107" i="4"/>
  <c r="BK107" i="4" s="1"/>
  <c r="AM107" i="4"/>
  <c r="BI107" i="4" s="1"/>
  <c r="AR107" i="4"/>
  <c r="BN107" i="4" s="1"/>
  <c r="AK107" i="4"/>
  <c r="AV107" i="4"/>
  <c r="BR107" i="4" s="1"/>
  <c r="AY165" i="4"/>
  <c r="AH54" i="4"/>
  <c r="BD54" i="4" s="1"/>
  <c r="AC158" i="4"/>
  <c r="AU158" i="4"/>
  <c r="AE158" i="4"/>
  <c r="BM158" i="4"/>
  <c r="BI158" i="4"/>
  <c r="AJ158" i="4"/>
  <c r="AN158" i="4"/>
  <c r="BJ158" i="4"/>
  <c r="BL158" i="4"/>
  <c r="BF158" i="4"/>
  <c r="AT158" i="4"/>
  <c r="AQ158" i="4"/>
  <c r="AM158" i="4"/>
  <c r="BB158" i="4"/>
  <c r="BA158" i="4"/>
  <c r="BE158" i="4"/>
  <c r="AS158" i="4"/>
  <c r="AO158" i="4"/>
  <c r="AV158" i="4"/>
  <c r="BN158" i="4"/>
  <c r="BQ158" i="4"/>
  <c r="BS158" i="4"/>
  <c r="AK158" i="4"/>
  <c r="AG158" i="4"/>
  <c r="AH158" i="4"/>
  <c r="BD158" i="4"/>
  <c r="BO158" i="4"/>
  <c r="AN105" i="4"/>
  <c r="BJ105" i="4" s="1"/>
  <c r="AG105" i="4"/>
  <c r="AU105" i="4"/>
  <c r="BQ105" i="4" s="1"/>
  <c r="AQ105" i="4"/>
  <c r="BM105" i="4" s="1"/>
  <c r="AQ52" i="4"/>
  <c r="BM52" i="4" s="1"/>
  <c r="AT52" i="4"/>
  <c r="BP52" i="4" s="1"/>
  <c r="AO52" i="4"/>
  <c r="BK52" i="4" s="1"/>
  <c r="AS52" i="4"/>
  <c r="BO52" i="4" s="1"/>
  <c r="AD52" i="4"/>
  <c r="AZ52" i="4" s="1"/>
  <c r="AX52" i="4"/>
  <c r="AM52" i="4"/>
  <c r="BI52" i="4" s="1"/>
  <c r="AU52" i="4"/>
  <c r="BQ52" i="4" s="1"/>
  <c r="AN52" i="4"/>
  <c r="BJ52" i="4" s="1"/>
  <c r="AP52" i="4"/>
  <c r="BL52" i="4" s="1"/>
  <c r="AH52" i="4"/>
  <c r="BD52" i="4" s="1"/>
  <c r="AF52" i="4"/>
  <c r="BB52" i="4" s="1"/>
  <c r="AW52" i="4"/>
  <c r="BS52" i="4" s="1"/>
  <c r="AT51" i="4"/>
  <c r="AV51" i="4"/>
  <c r="BR51" i="4" s="1"/>
  <c r="AS51" i="4"/>
  <c r="BO51" i="4" s="1"/>
  <c r="AP67" i="4"/>
  <c r="BL67" i="4" s="1"/>
  <c r="AW51" i="4"/>
  <c r="BS51" i="4" s="1"/>
  <c r="AD51" i="4"/>
  <c r="AZ51" i="4" s="1"/>
  <c r="AF51" i="4"/>
  <c r="BB51" i="4" s="1"/>
  <c r="AI162" i="4"/>
  <c r="AN41" i="4"/>
  <c r="AK51" i="4"/>
  <c r="BG51" i="4" s="1"/>
  <c r="AP51" i="4"/>
  <c r="BL51" i="4" s="1"/>
  <c r="AJ51" i="4"/>
  <c r="BF51" i="4" s="1"/>
  <c r="AH70" i="4"/>
  <c r="BD70" i="4" s="1"/>
  <c r="AM51" i="4"/>
  <c r="BI51" i="4" s="1"/>
  <c r="AG51" i="4"/>
  <c r="BC51" i="4" s="1"/>
  <c r="AD100" i="4"/>
  <c r="AZ100" i="4" s="1"/>
  <c r="J88" i="4"/>
  <c r="AI54" i="4"/>
  <c r="BE54" i="4" s="1"/>
  <c r="AR67" i="4"/>
  <c r="BN67" i="4" s="1"/>
  <c r="AF100" i="4"/>
  <c r="I28" i="4"/>
  <c r="K78" i="4"/>
  <c r="I159" i="4"/>
  <c r="M115" i="4"/>
  <c r="M88" i="4"/>
  <c r="Z88" i="4" s="1"/>
  <c r="AS54" i="4"/>
  <c r="BO54" i="4" s="1"/>
  <c r="AO54" i="4"/>
  <c r="BK54" i="4" s="1"/>
  <c r="AG165" i="4"/>
  <c r="AC67" i="4"/>
  <c r="AY67" i="4" s="1"/>
  <c r="AW105" i="4"/>
  <c r="BS105" i="4" s="1"/>
  <c r="AJ83" i="4"/>
  <c r="BF83" i="4" s="1"/>
  <c r="AX83" i="4"/>
  <c r="BT83" i="4" s="1"/>
  <c r="AK83" i="4"/>
  <c r="AU83" i="4"/>
  <c r="BQ83" i="4" s="1"/>
  <c r="AO83" i="4"/>
  <c r="BK83" i="4" s="1"/>
  <c r="AG83" i="4"/>
  <c r="BC83" i="4" s="1"/>
  <c r="AL83" i="4"/>
  <c r="BH83" i="4" s="1"/>
  <c r="AF83" i="4"/>
  <c r="BB83" i="4" s="1"/>
  <c r="AM83" i="4"/>
  <c r="BI83" i="4" s="1"/>
  <c r="AC83" i="4"/>
  <c r="AY83" i="4" s="1"/>
  <c r="AV83" i="4"/>
  <c r="AW83" i="4"/>
  <c r="BS83" i="4" s="1"/>
  <c r="AQ83" i="4"/>
  <c r="BM83" i="4" s="1"/>
  <c r="AP83" i="4"/>
  <c r="BL83" i="4" s="1"/>
  <c r="AP134" i="4"/>
  <c r="AV134" i="4"/>
  <c r="AS134" i="4"/>
  <c r="BG134" i="4"/>
  <c r="AZ134" i="4"/>
  <c r="BH134" i="4"/>
  <c r="AG134" i="4"/>
  <c r="AM134" i="4"/>
  <c r="AR134" i="4"/>
  <c r="BN134" i="4"/>
  <c r="BE134" i="4"/>
  <c r="BF134" i="4"/>
  <c r="AX134" i="4"/>
  <c r="AD134" i="4"/>
  <c r="AH134" i="4"/>
  <c r="BD134" i="4"/>
  <c r="BT134" i="4"/>
  <c r="AO134" i="4"/>
  <c r="AU134" i="4"/>
  <c r="BR134" i="4"/>
  <c r="BM134" i="4"/>
  <c r="AY134" i="4"/>
  <c r="AQ134" i="4"/>
  <c r="AN134" i="4"/>
  <c r="AT134" i="4"/>
  <c r="AJ134" i="4"/>
  <c r="BA134" i="4"/>
  <c r="BI134" i="4"/>
  <c r="AQ48" i="4"/>
  <c r="AR48" i="4"/>
  <c r="BN48" i="4" s="1"/>
  <c r="AP48" i="4"/>
  <c r="BL48" i="4" s="1"/>
  <c r="AH48" i="4"/>
  <c r="BD48" i="4" s="1"/>
  <c r="AG48" i="4"/>
  <c r="BC48" i="4" s="1"/>
  <c r="AN48" i="4"/>
  <c r="BJ48" i="4" s="1"/>
  <c r="AV48" i="4"/>
  <c r="BR48" i="4" s="1"/>
  <c r="AO48" i="4"/>
  <c r="BK48" i="4" s="1"/>
  <c r="AF48" i="4"/>
  <c r="AK48" i="4"/>
  <c r="BG48" i="4" s="1"/>
  <c r="AE48" i="4"/>
  <c r="BA48" i="4" s="1"/>
  <c r="AL48" i="4"/>
  <c r="BH48" i="4" s="1"/>
  <c r="AS48" i="4"/>
  <c r="BO48" i="4" s="1"/>
  <c r="AX48" i="4"/>
  <c r="BT48" i="4" s="1"/>
  <c r="AR100" i="4"/>
  <c r="BN100" i="4" s="1"/>
  <c r="AX100" i="4"/>
  <c r="BT100" i="4" s="1"/>
  <c r="AH100" i="4"/>
  <c r="AI100" i="4"/>
  <c r="BE100" i="4" s="1"/>
  <c r="AN100" i="4"/>
  <c r="BJ100" i="4" s="1"/>
  <c r="AW100" i="4"/>
  <c r="BS100" i="4" s="1"/>
  <c r="AQ100" i="4"/>
  <c r="BM100" i="4" s="1"/>
  <c r="AC100" i="4"/>
  <c r="AY100" i="4" s="1"/>
  <c r="AT100" i="4"/>
  <c r="BP100" i="4" s="1"/>
  <c r="AG100" i="4"/>
  <c r="BC100" i="4" s="1"/>
  <c r="AV100" i="4"/>
  <c r="AM100" i="4"/>
  <c r="BI100" i="4" s="1"/>
  <c r="AO100" i="4"/>
  <c r="BK100" i="4" s="1"/>
  <c r="AL100" i="4"/>
  <c r="BH100" i="4" s="1"/>
  <c r="M167" i="4"/>
  <c r="AE54" i="4"/>
  <c r="BA54" i="4" s="1"/>
  <c r="AZ165" i="4"/>
  <c r="BP165" i="4"/>
  <c r="AQ165" i="4"/>
  <c r="AH165" i="4"/>
  <c r="BB165" i="4"/>
  <c r="AJ165" i="4"/>
  <c r="BD165" i="4"/>
  <c r="AF165" i="4"/>
  <c r="AX165" i="4"/>
  <c r="AV165" i="4"/>
  <c r="BS165" i="4"/>
  <c r="AN165" i="4"/>
  <c r="BC165" i="4"/>
  <c r="AE165" i="4"/>
  <c r="BO165" i="4"/>
  <c r="BE165" i="4"/>
  <c r="AD165" i="4"/>
  <c r="AT165" i="4"/>
  <c r="AM165" i="4"/>
  <c r="AO165" i="4"/>
  <c r="AC165" i="4"/>
  <c r="AL165" i="4"/>
  <c r="BK165" i="4"/>
  <c r="BA165" i="4"/>
  <c r="AI165" i="4"/>
  <c r="BM165" i="4"/>
  <c r="AS165" i="4"/>
  <c r="K28" i="4"/>
  <c r="L111" i="4"/>
  <c r="Q111" i="4" s="1"/>
  <c r="R111" i="4" s="1"/>
  <c r="K40" i="4"/>
  <c r="J78" i="4"/>
  <c r="R78" i="4" s="1"/>
  <c r="M78" i="4"/>
  <c r="Z78" i="4" s="1"/>
  <c r="BJ165" i="4"/>
  <c r="AF54" i="4"/>
  <c r="BB54" i="4" s="1"/>
  <c r="AK54" i="4"/>
  <c r="AD54" i="4"/>
  <c r="AZ54" i="4" s="1"/>
  <c r="BT165" i="4"/>
  <c r="BO162" i="4"/>
  <c r="BK162" i="4"/>
  <c r="AW162" i="4"/>
  <c r="BI165" i="4"/>
  <c r="BL134" i="4"/>
  <c r="AE134" i="4"/>
  <c r="AW165" i="4"/>
  <c r="AW48" i="4"/>
  <c r="BS48" i="4" s="1"/>
  <c r="AR83" i="4"/>
  <c r="BN83" i="4" s="1"/>
  <c r="AF105" i="4"/>
  <c r="BB105" i="4" s="1"/>
  <c r="AE100" i="4"/>
  <c r="BA100" i="4" s="1"/>
  <c r="AM171" i="4"/>
  <c r="AQ171" i="4"/>
  <c r="AG171" i="4"/>
  <c r="BG171" i="4"/>
  <c r="BA171" i="4"/>
  <c r="AE171" i="4"/>
  <c r="AI171" i="4"/>
  <c r="AW171" i="4"/>
  <c r="BO171" i="4"/>
  <c r="BL171" i="4"/>
  <c r="AT171" i="4"/>
  <c r="AX171" i="4"/>
  <c r="BM171" i="4"/>
  <c r="BD171" i="4"/>
  <c r="AZ171" i="4"/>
  <c r="AL171" i="4"/>
  <c r="AP171" i="4"/>
  <c r="BE171" i="4"/>
  <c r="BS171" i="4"/>
  <c r="BI171" i="4"/>
  <c r="AF171" i="4"/>
  <c r="AK171" i="4"/>
  <c r="AO171" i="4"/>
  <c r="AY171" i="4"/>
  <c r="BB171" i="4"/>
  <c r="BK171" i="4"/>
  <c r="AT32" i="4"/>
  <c r="AW32" i="4"/>
  <c r="BS32" i="4" s="1"/>
  <c r="AU32" i="4"/>
  <c r="BQ32" i="4" s="1"/>
  <c r="AJ32" i="4"/>
  <c r="BF32" i="4" s="1"/>
  <c r="AN32" i="4"/>
  <c r="BJ32" i="4" s="1"/>
  <c r="AM32" i="4"/>
  <c r="BI32" i="4" s="1"/>
  <c r="AR32" i="4"/>
  <c r="BN32" i="4" s="1"/>
  <c r="AE32" i="4"/>
  <c r="BA32" i="4" s="1"/>
  <c r="AD32" i="4"/>
  <c r="AI32" i="4"/>
  <c r="BE32" i="4" s="1"/>
  <c r="AO32" i="4"/>
  <c r="BK32" i="4" s="1"/>
  <c r="AK32" i="4"/>
  <c r="BG32" i="4" s="1"/>
  <c r="AP32" i="4"/>
  <c r="BL32" i="4" s="1"/>
  <c r="AF32" i="4"/>
  <c r="BB32" i="4" s="1"/>
  <c r="AD49" i="4"/>
  <c r="AZ49" i="4" s="1"/>
  <c r="AT49" i="4"/>
  <c r="BP49" i="4" s="1"/>
  <c r="AO49" i="4"/>
  <c r="AJ49" i="4"/>
  <c r="BF49" i="4" s="1"/>
  <c r="AV49" i="4"/>
  <c r="BR49" i="4" s="1"/>
  <c r="AS49" i="4"/>
  <c r="BO49" i="4" s="1"/>
  <c r="AP49" i="4"/>
  <c r="BL49" i="4" s="1"/>
  <c r="AK8" i="4"/>
  <c r="BG8" i="4" s="1"/>
  <c r="AD8" i="4"/>
  <c r="AZ8" i="4" s="1"/>
  <c r="AE8" i="4"/>
  <c r="BA8" i="4" s="1"/>
  <c r="AC8" i="4"/>
  <c r="AW8" i="4"/>
  <c r="BS8" i="4" s="1"/>
  <c r="AM8" i="4"/>
  <c r="BI8" i="4" s="1"/>
  <c r="AU8" i="4"/>
  <c r="BQ8" i="4" s="1"/>
  <c r="AI8" i="4"/>
  <c r="BE8" i="4" s="1"/>
  <c r="AJ8" i="4"/>
  <c r="BF8" i="4" s="1"/>
  <c r="AL8" i="4"/>
  <c r="BH8" i="4" s="1"/>
  <c r="AV8" i="4"/>
  <c r="BR8" i="4" s="1"/>
  <c r="AQ8" i="4"/>
  <c r="AX8" i="4"/>
  <c r="BT8" i="4" s="1"/>
  <c r="AG8" i="4"/>
  <c r="BC8" i="4" s="1"/>
  <c r="AJ67" i="4"/>
  <c r="BF67" i="4" s="1"/>
  <c r="AL67" i="4"/>
  <c r="BH67" i="4" s="1"/>
  <c r="AD67" i="4"/>
  <c r="AZ67" i="4" s="1"/>
  <c r="AW67" i="4"/>
  <c r="BS67" i="4" s="1"/>
  <c r="AV67" i="4"/>
  <c r="BR67" i="4" s="1"/>
  <c r="AS67" i="4"/>
  <c r="BO67" i="4" s="1"/>
  <c r="AN67" i="4"/>
  <c r="BJ67" i="4" s="1"/>
  <c r="AI67" i="4"/>
  <c r="BE67" i="4" s="1"/>
  <c r="AO67" i="4"/>
  <c r="BK67" i="4" s="1"/>
  <c r="AE67" i="4"/>
  <c r="BA67" i="4" s="1"/>
  <c r="AU67" i="4"/>
  <c r="BQ67" i="4" s="1"/>
  <c r="AG67" i="4"/>
  <c r="BC67" i="4" s="1"/>
  <c r="AM67" i="4"/>
  <c r="BI67" i="4" s="1"/>
  <c r="AF67" i="4"/>
  <c r="BB67" i="4" s="1"/>
  <c r="I44" i="4"/>
  <c r="K111" i="4"/>
  <c r="P111" i="4" s="1"/>
  <c r="J167" i="4"/>
  <c r="I78" i="4"/>
  <c r="BL165" i="4"/>
  <c r="AJ54" i="4"/>
  <c r="BF54" i="4" s="1"/>
  <c r="AU54" i="4"/>
  <c r="BQ54" i="4" s="1"/>
  <c r="AM54" i="4"/>
  <c r="AO70" i="4"/>
  <c r="BK70" i="4" s="1"/>
  <c r="AI70" i="4"/>
  <c r="BE70" i="4" s="1"/>
  <c r="AZ162" i="4"/>
  <c r="BT162" i="4"/>
  <c r="AK165" i="4"/>
  <c r="BC134" i="4"/>
  <c r="AW134" i="4"/>
  <c r="BN165" i="4"/>
  <c r="AC48" i="4"/>
  <c r="AY48" i="4" s="1"/>
  <c r="AQ67" i="4"/>
  <c r="BM67" i="4" s="1"/>
  <c r="AE83" i="4"/>
  <c r="BA83" i="4" s="1"/>
  <c r="AU100" i="4"/>
  <c r="BQ100" i="4" s="1"/>
  <c r="AW107" i="4"/>
  <c r="BS107" i="4" s="1"/>
  <c r="AI107" i="4"/>
  <c r="BE107" i="4" s="1"/>
  <c r="AH107" i="4"/>
  <c r="BD107" i="4" s="1"/>
  <c r="AN107" i="4"/>
  <c r="AU107" i="4"/>
  <c r="BQ107" i="4" s="1"/>
  <c r="AT107" i="4"/>
  <c r="BP107" i="4" s="1"/>
  <c r="AF107" i="4"/>
  <c r="BB107" i="4" s="1"/>
  <c r="AS107" i="4"/>
  <c r="BO107" i="4" s="1"/>
  <c r="AJ107" i="4"/>
  <c r="BF107" i="4" s="1"/>
  <c r="AE107" i="4"/>
  <c r="BA107" i="4" s="1"/>
  <c r="AP107" i="4"/>
  <c r="BL107" i="4" s="1"/>
  <c r="AL107" i="4"/>
  <c r="AQ107" i="4"/>
  <c r="BM107" i="4" s="1"/>
  <c r="AT150" i="4"/>
  <c r="AQ150" i="4"/>
  <c r="AV150" i="4"/>
  <c r="BB150" i="4"/>
  <c r="BE150" i="4"/>
  <c r="AD150" i="4"/>
  <c r="AW150" i="4"/>
  <c r="AF150" i="4"/>
  <c r="BC150" i="4"/>
  <c r="BD150" i="4"/>
  <c r="BM150" i="4"/>
  <c r="AT54" i="4"/>
  <c r="BP54" i="4" s="1"/>
  <c r="AL54" i="4"/>
  <c r="BH54" i="4" s="1"/>
  <c r="AV54" i="4"/>
  <c r="BR54" i="4" s="1"/>
  <c r="AU165" i="4"/>
  <c r="AH67" i="4"/>
  <c r="BD67" i="4" s="1"/>
  <c r="AJ100" i="4"/>
  <c r="BF100" i="4" s="1"/>
  <c r="AS88" i="4"/>
  <c r="BO88" i="4" s="1"/>
  <c r="AF88" i="4"/>
  <c r="BB88" i="4" s="1"/>
  <c r="AC88" i="4"/>
  <c r="AY88" i="4" s="1"/>
  <c r="AJ88" i="4"/>
  <c r="BF88" i="4" s="1"/>
  <c r="AW88" i="4"/>
  <c r="BS88" i="4" s="1"/>
  <c r="AR88" i="4"/>
  <c r="BN88" i="4" s="1"/>
  <c r="AV88" i="4"/>
  <c r="BR88" i="4" s="1"/>
  <c r="AT88" i="4"/>
  <c r="BP88" i="4" s="1"/>
  <c r="AI88" i="4"/>
  <c r="BE88" i="4" s="1"/>
  <c r="AP88" i="4"/>
  <c r="BL88" i="4" s="1"/>
  <c r="AU88" i="4"/>
  <c r="BQ88" i="4" s="1"/>
  <c r="AX88" i="4"/>
  <c r="BT88" i="4" s="1"/>
  <c r="AE88" i="4"/>
  <c r="BA88" i="4" s="1"/>
  <c r="I156" i="4"/>
  <c r="J170" i="4"/>
  <c r="J116" i="4"/>
  <c r="K159" i="4"/>
  <c r="I111" i="4"/>
  <c r="L167" i="4"/>
  <c r="Q167" i="4" s="1"/>
  <c r="I88" i="4"/>
  <c r="L156" i="4"/>
  <c r="Q156" i="4" s="1"/>
  <c r="I170" i="4"/>
  <c r="M44" i="4"/>
  <c r="L170" i="4"/>
  <c r="Q170" i="4" s="1"/>
  <c r="K61" i="4"/>
  <c r="K170" i="4"/>
  <c r="AQ54" i="4"/>
  <c r="BM54" i="4" s="1"/>
  <c r="AW54" i="4"/>
  <c r="BS54" i="4" s="1"/>
  <c r="AR165" i="4"/>
  <c r="BH165" i="4"/>
  <c r="AX67" i="4"/>
  <c r="BT67" i="4" s="1"/>
  <c r="AS100" i="4"/>
  <c r="BO100" i="4" s="1"/>
  <c r="AP165" i="4"/>
  <c r="AC162" i="4"/>
  <c r="AV162" i="4"/>
  <c r="AM162" i="4"/>
  <c r="AY162" i="4"/>
  <c r="BL162" i="4"/>
  <c r="AR162" i="4"/>
  <c r="AN162" i="4"/>
  <c r="BR162" i="4"/>
  <c r="BS162" i="4"/>
  <c r="BE162" i="4"/>
  <c r="AJ162" i="4"/>
  <c r="AF162" i="4"/>
  <c r="BJ162" i="4"/>
  <c r="BH162" i="4"/>
  <c r="BD162" i="4"/>
  <c r="AT162" i="4"/>
  <c r="AQ162" i="4"/>
  <c r="AH162" i="4"/>
  <c r="BB162" i="4"/>
  <c r="BQ162" i="4"/>
  <c r="BC162" i="4"/>
  <c r="AR105" i="4"/>
  <c r="BN105" i="4" s="1"/>
  <c r="AS105" i="4"/>
  <c r="BO105" i="4" s="1"/>
  <c r="AC105" i="4"/>
  <c r="AY105" i="4" s="1"/>
  <c r="AI105" i="4"/>
  <c r="BE105" i="4" s="1"/>
  <c r="AH105" i="4"/>
  <c r="BD105" i="4" s="1"/>
  <c r="AD105" i="4"/>
  <c r="AZ105" i="4" s="1"/>
  <c r="AV105" i="4"/>
  <c r="BR105" i="4" s="1"/>
  <c r="AP105" i="4"/>
  <c r="AX105" i="4"/>
  <c r="BT105" i="4" s="1"/>
  <c r="AL105" i="4"/>
  <c r="BH105" i="4" s="1"/>
  <c r="AE105" i="4"/>
  <c r="BA105" i="4" s="1"/>
  <c r="AO105" i="4"/>
  <c r="BK105" i="4" s="1"/>
  <c r="AT105" i="4"/>
  <c r="BP105" i="4" s="1"/>
  <c r="AM105" i="4"/>
  <c r="BI105" i="4" s="1"/>
  <c r="AX27" i="4"/>
  <c r="BT27" i="4" s="1"/>
  <c r="AW27" i="4"/>
  <c r="AT27" i="4"/>
  <c r="BP27" i="4" s="1"/>
  <c r="AO41" i="4"/>
  <c r="BK41" i="4" s="1"/>
  <c r="AL41" i="4"/>
  <c r="BH41" i="4" s="1"/>
  <c r="AU27" i="4"/>
  <c r="BQ27" i="4" s="1"/>
  <c r="AG27" i="4"/>
  <c r="BC27" i="4" s="1"/>
  <c r="AI27" i="4"/>
  <c r="BE27" i="4" s="1"/>
  <c r="AH41" i="4"/>
  <c r="BD41" i="4" s="1"/>
  <c r="AV41" i="4"/>
  <c r="AC27" i="4"/>
  <c r="AY27" i="4" s="1"/>
  <c r="AP27" i="4"/>
  <c r="BL27" i="4" s="1"/>
  <c r="AQ27" i="4"/>
  <c r="BM27" i="4" s="1"/>
  <c r="AD41" i="4"/>
  <c r="AZ41" i="4" s="1"/>
  <c r="AF27" i="4"/>
  <c r="BB27" i="4" s="1"/>
  <c r="AI52" i="4"/>
  <c r="BE52" i="4" s="1"/>
  <c r="AC52" i="4"/>
  <c r="AY52" i="4" s="1"/>
  <c r="AP41" i="4"/>
  <c r="AJ41" i="4"/>
  <c r="BF41" i="4" s="1"/>
  <c r="L172" i="4"/>
  <c r="Q172" i="4" s="1"/>
  <c r="R172" i="4" s="1"/>
  <c r="AS95" i="4"/>
  <c r="BO95" i="4" s="1"/>
  <c r="AR95" i="4"/>
  <c r="BN95" i="4" s="1"/>
  <c r="AJ95" i="4"/>
  <c r="BF95" i="4" s="1"/>
  <c r="AW95" i="4"/>
  <c r="BS95" i="4" s="1"/>
  <c r="AM95" i="4"/>
  <c r="BI95" i="4" s="1"/>
  <c r="AD95" i="4"/>
  <c r="AV95" i="4"/>
  <c r="BR95" i="4" s="1"/>
  <c r="AL95" i="4"/>
  <c r="BH95" i="4" s="1"/>
  <c r="AC95" i="4"/>
  <c r="AY95" i="4" s="1"/>
  <c r="AU95" i="4"/>
  <c r="BQ95" i="4" s="1"/>
  <c r="AK95" i="4"/>
  <c r="BG95" i="4" s="1"/>
  <c r="AT95" i="4"/>
  <c r="BP95" i="4" s="1"/>
  <c r="AI95" i="4"/>
  <c r="BE95" i="4" s="1"/>
  <c r="AP95" i="4"/>
  <c r="AG95" i="4"/>
  <c r="BC95" i="4" s="1"/>
  <c r="AO95" i="4"/>
  <c r="BK95" i="4" s="1"/>
  <c r="AN95" i="4"/>
  <c r="BJ95" i="4" s="1"/>
  <c r="AH95" i="4"/>
  <c r="BD95" i="4" s="1"/>
  <c r="AF95" i="4"/>
  <c r="BB95" i="4" s="1"/>
  <c r="AX95" i="4"/>
  <c r="BT95" i="4" s="1"/>
  <c r="AE95" i="4"/>
  <c r="BA95" i="4" s="1"/>
  <c r="AQ95" i="4"/>
  <c r="AS111" i="4"/>
  <c r="BO111" i="4" s="1"/>
  <c r="AK111" i="4"/>
  <c r="BG111" i="4" s="1"/>
  <c r="AC111" i="4"/>
  <c r="AY111" i="4" s="1"/>
  <c r="AT111" i="4"/>
  <c r="BP111" i="4" s="1"/>
  <c r="AJ111" i="4"/>
  <c r="BF111" i="4" s="1"/>
  <c r="AQ111" i="4"/>
  <c r="BM111" i="4" s="1"/>
  <c r="AH111" i="4"/>
  <c r="BD111" i="4" s="1"/>
  <c r="AW111" i="4"/>
  <c r="AN111" i="4"/>
  <c r="BJ111" i="4" s="1"/>
  <c r="AE111" i="4"/>
  <c r="BA111" i="4" s="1"/>
  <c r="AO111" i="4"/>
  <c r="BK111" i="4" s="1"/>
  <c r="AM111" i="4"/>
  <c r="BI111" i="4" s="1"/>
  <c r="AL111" i="4"/>
  <c r="BH111" i="4" s="1"/>
  <c r="AX111" i="4"/>
  <c r="BT111" i="4" s="1"/>
  <c r="AI111" i="4"/>
  <c r="BE111" i="4" s="1"/>
  <c r="AU111" i="4"/>
  <c r="AF111" i="4"/>
  <c r="BB111" i="4" s="1"/>
  <c r="AV111" i="4"/>
  <c r="BR111" i="4" s="1"/>
  <c r="AR111" i="4"/>
  <c r="BN111" i="4" s="1"/>
  <c r="AG111" i="4"/>
  <c r="BC111" i="4" s="1"/>
  <c r="AD111" i="4"/>
  <c r="AZ111" i="4" s="1"/>
  <c r="AP111" i="4"/>
  <c r="BL111" i="4" s="1"/>
  <c r="AU5" i="4"/>
  <c r="BQ5" i="4" s="1"/>
  <c r="AM5" i="4"/>
  <c r="BI5" i="4" s="1"/>
  <c r="AE5" i="4"/>
  <c r="BA5" i="4" s="1"/>
  <c r="AW5" i="4"/>
  <c r="BS5" i="4" s="1"/>
  <c r="AN5" i="4"/>
  <c r="BJ5" i="4" s="1"/>
  <c r="AD5" i="4"/>
  <c r="AZ5" i="4" s="1"/>
  <c r="AS5" i="4"/>
  <c r="BO5" i="4" s="1"/>
  <c r="AI5" i="4"/>
  <c r="BE5" i="4" s="1"/>
  <c r="AQ5" i="4"/>
  <c r="BM5" i="4" s="1"/>
  <c r="AG5" i="4"/>
  <c r="BC5" i="4" s="1"/>
  <c r="AT5" i="4"/>
  <c r="BP5" i="4" s="1"/>
  <c r="AF5" i="4"/>
  <c r="BB5" i="4" s="1"/>
  <c r="AR5" i="4"/>
  <c r="BN5" i="4" s="1"/>
  <c r="AC5" i="4"/>
  <c r="AY5" i="4" s="1"/>
  <c r="AP5" i="4"/>
  <c r="BL5" i="4" s="1"/>
  <c r="AO5" i="4"/>
  <c r="BK5" i="4" s="1"/>
  <c r="AX5" i="4"/>
  <c r="BT5" i="4" s="1"/>
  <c r="AV5" i="4"/>
  <c r="BR5" i="4" s="1"/>
  <c r="AL5" i="4"/>
  <c r="BH5" i="4" s="1"/>
  <c r="AK5" i="4"/>
  <c r="BG5" i="4" s="1"/>
  <c r="AJ5" i="4"/>
  <c r="BF5" i="4" s="1"/>
  <c r="AH5" i="4"/>
  <c r="BD5" i="4" s="1"/>
  <c r="AW42" i="4"/>
  <c r="BS42" i="4" s="1"/>
  <c r="AO42" i="4"/>
  <c r="BK42" i="4" s="1"/>
  <c r="AG42" i="4"/>
  <c r="BC42" i="4" s="1"/>
  <c r="AS42" i="4"/>
  <c r="AJ42" i="4"/>
  <c r="BF42" i="4" s="1"/>
  <c r="AR42" i="4"/>
  <c r="BN42" i="4" s="1"/>
  <c r="AI42" i="4"/>
  <c r="BE42" i="4" s="1"/>
  <c r="AQ42" i="4"/>
  <c r="BM42" i="4" s="1"/>
  <c r="AH42" i="4"/>
  <c r="BD42" i="4" s="1"/>
  <c r="AP42" i="4"/>
  <c r="BL42" i="4" s="1"/>
  <c r="AF42" i="4"/>
  <c r="BB42" i="4" s="1"/>
  <c r="AV42" i="4"/>
  <c r="AM42" i="4"/>
  <c r="BI42" i="4" s="1"/>
  <c r="AD42" i="4"/>
  <c r="AZ42" i="4" s="1"/>
  <c r="AN42" i="4"/>
  <c r="BJ42" i="4" s="1"/>
  <c r="AK42" i="4"/>
  <c r="BG42" i="4" s="1"/>
  <c r="AX42" i="4"/>
  <c r="BT42" i="4" s="1"/>
  <c r="AU42" i="4"/>
  <c r="BQ42" i="4" s="1"/>
  <c r="AT42" i="4"/>
  <c r="BP42" i="4" s="1"/>
  <c r="AL42" i="4"/>
  <c r="AE42" i="4"/>
  <c r="BA42" i="4" s="1"/>
  <c r="AC42" i="4"/>
  <c r="AY42" i="4" s="1"/>
  <c r="AX90" i="4"/>
  <c r="BT90" i="4" s="1"/>
  <c r="AP90" i="4"/>
  <c r="BL90" i="4" s="1"/>
  <c r="AH90" i="4"/>
  <c r="BD90" i="4" s="1"/>
  <c r="AV90" i="4"/>
  <c r="BR90" i="4" s="1"/>
  <c r="AM90" i="4"/>
  <c r="BI90" i="4" s="1"/>
  <c r="AD90" i="4"/>
  <c r="AZ90" i="4" s="1"/>
  <c r="AU90" i="4"/>
  <c r="BQ90" i="4" s="1"/>
  <c r="AL90" i="4"/>
  <c r="BH90" i="4" s="1"/>
  <c r="AC90" i="4"/>
  <c r="AY90" i="4" s="1"/>
  <c r="AT90" i="4"/>
  <c r="BP90" i="4" s="1"/>
  <c r="AK90" i="4"/>
  <c r="BG90" i="4" s="1"/>
  <c r="AS90" i="4"/>
  <c r="BO90" i="4" s="1"/>
  <c r="AJ90" i="4"/>
  <c r="BF90" i="4" s="1"/>
  <c r="AQ90" i="4"/>
  <c r="AG90" i="4"/>
  <c r="BC90" i="4" s="1"/>
  <c r="AE90" i="4"/>
  <c r="BA90" i="4" s="1"/>
  <c r="AW90" i="4"/>
  <c r="BS90" i="4" s="1"/>
  <c r="AR90" i="4"/>
  <c r="BN90" i="4" s="1"/>
  <c r="AN90" i="4"/>
  <c r="BJ90" i="4" s="1"/>
  <c r="AI90" i="4"/>
  <c r="BE90" i="4" s="1"/>
  <c r="AO90" i="4"/>
  <c r="BK90" i="4" s="1"/>
  <c r="AF90" i="4"/>
  <c r="BB90" i="4" s="1"/>
  <c r="AQ122" i="4"/>
  <c r="BM122" i="4" s="1"/>
  <c r="AI122" i="4"/>
  <c r="BE122" i="4" s="1"/>
  <c r="AX122" i="4"/>
  <c r="BT122" i="4" s="1"/>
  <c r="AO122" i="4"/>
  <c r="BK122" i="4" s="1"/>
  <c r="AF122" i="4"/>
  <c r="BB122" i="4" s="1"/>
  <c r="AV122" i="4"/>
  <c r="BR122" i="4" s="1"/>
  <c r="AM122" i="4"/>
  <c r="BI122" i="4" s="1"/>
  <c r="AD122" i="4"/>
  <c r="AZ122" i="4" s="1"/>
  <c r="AU122" i="4"/>
  <c r="BQ122" i="4" s="1"/>
  <c r="AL122" i="4"/>
  <c r="BH122" i="4" s="1"/>
  <c r="AC122" i="4"/>
  <c r="AY122" i="4" s="1"/>
  <c r="AT122" i="4"/>
  <c r="BP122" i="4" s="1"/>
  <c r="AK122" i="4"/>
  <c r="BG122" i="4" s="1"/>
  <c r="AS122" i="4"/>
  <c r="BO122" i="4" s="1"/>
  <c r="AJ122" i="4"/>
  <c r="BF122" i="4" s="1"/>
  <c r="AN122" i="4"/>
  <c r="BJ122" i="4" s="1"/>
  <c r="AH122" i="4"/>
  <c r="BD122" i="4" s="1"/>
  <c r="AG122" i="4"/>
  <c r="BC122" i="4" s="1"/>
  <c r="AE122" i="4"/>
  <c r="BA122" i="4" s="1"/>
  <c r="AW122" i="4"/>
  <c r="BS122" i="4" s="1"/>
  <c r="AP122" i="4"/>
  <c r="BL122" i="4" s="1"/>
  <c r="AR122" i="4"/>
  <c r="BN122" i="4" s="1"/>
  <c r="AS99" i="4"/>
  <c r="BO99" i="4" s="1"/>
  <c r="AK99" i="4"/>
  <c r="AC99" i="4"/>
  <c r="AY99" i="4" s="1"/>
  <c r="AV99" i="4"/>
  <c r="BR99" i="4" s="1"/>
  <c r="AM99" i="4"/>
  <c r="BI99" i="4" s="1"/>
  <c r="AD99" i="4"/>
  <c r="AZ99" i="4" s="1"/>
  <c r="AR99" i="4"/>
  <c r="BN99" i="4" s="1"/>
  <c r="AH99" i="4"/>
  <c r="BD99" i="4" s="1"/>
  <c r="AQ99" i="4"/>
  <c r="BM99" i="4" s="1"/>
  <c r="AG99" i="4"/>
  <c r="AP99" i="4"/>
  <c r="BL99" i="4" s="1"/>
  <c r="AF99" i="4"/>
  <c r="BB99" i="4" s="1"/>
  <c r="AO99" i="4"/>
  <c r="BK99" i="4" s="1"/>
  <c r="AE99" i="4"/>
  <c r="BA99" i="4" s="1"/>
  <c r="AW99" i="4"/>
  <c r="BS99" i="4" s="1"/>
  <c r="AL99" i="4"/>
  <c r="BH99" i="4" s="1"/>
  <c r="AJ99" i="4"/>
  <c r="BF99" i="4" s="1"/>
  <c r="AI99" i="4"/>
  <c r="AU99" i="4"/>
  <c r="BQ99" i="4" s="1"/>
  <c r="AT99" i="4"/>
  <c r="BP99" i="4" s="1"/>
  <c r="AX99" i="4"/>
  <c r="BT99" i="4" s="1"/>
  <c r="AN99" i="4"/>
  <c r="BJ99" i="4" s="1"/>
  <c r="AR140" i="4"/>
  <c r="AJ140" i="4"/>
  <c r="AX140" i="4"/>
  <c r="AU140" i="4"/>
  <c r="AM140" i="4"/>
  <c r="AE140" i="4"/>
  <c r="AQ140" i="4"/>
  <c r="AG140" i="4"/>
  <c r="AP140" i="4"/>
  <c r="AF140" i="4"/>
  <c r="AO140" i="4"/>
  <c r="AD140" i="4"/>
  <c r="AN140" i="4"/>
  <c r="AC140" i="4"/>
  <c r="AW140" i="4"/>
  <c r="AL140" i="4"/>
  <c r="AV140" i="4"/>
  <c r="AK140" i="4"/>
  <c r="AT140" i="4"/>
  <c r="AS140" i="4"/>
  <c r="AI140" i="4"/>
  <c r="AH140" i="4"/>
  <c r="BN140" i="4"/>
  <c r="BF140" i="4"/>
  <c r="BL140" i="4"/>
  <c r="BC140" i="4"/>
  <c r="BR140" i="4"/>
  <c r="BH140" i="4"/>
  <c r="BQ140" i="4"/>
  <c r="BG140" i="4"/>
  <c r="BP140" i="4"/>
  <c r="BE140" i="4"/>
  <c r="BO140" i="4"/>
  <c r="BD140" i="4"/>
  <c r="BS140" i="4"/>
  <c r="AY140" i="4"/>
  <c r="BM140" i="4"/>
  <c r="BI140" i="4"/>
  <c r="BK140" i="4"/>
  <c r="BJ140" i="4"/>
  <c r="BB140" i="4"/>
  <c r="BA140" i="4"/>
  <c r="AZ140" i="4"/>
  <c r="BT140" i="4"/>
  <c r="AW18" i="4"/>
  <c r="BS18" i="4" s="1"/>
  <c r="AO18" i="4"/>
  <c r="BK18" i="4" s="1"/>
  <c r="AG18" i="4"/>
  <c r="BC18" i="4" s="1"/>
  <c r="AX18" i="4"/>
  <c r="BT18" i="4" s="1"/>
  <c r="AN18" i="4"/>
  <c r="BJ18" i="4" s="1"/>
  <c r="AE18" i="4"/>
  <c r="BA18" i="4" s="1"/>
  <c r="AT18" i="4"/>
  <c r="BP18" i="4" s="1"/>
  <c r="AK18" i="4"/>
  <c r="BG18" i="4" s="1"/>
  <c r="AU18" i="4"/>
  <c r="BQ18" i="4" s="1"/>
  <c r="AI18" i="4"/>
  <c r="AR18" i="4"/>
  <c r="BN18" i="4" s="1"/>
  <c r="AF18" i="4"/>
  <c r="BB18" i="4" s="1"/>
  <c r="AQ18" i="4"/>
  <c r="BM18" i="4" s="1"/>
  <c r="AJ18" i="4"/>
  <c r="BF18" i="4" s="1"/>
  <c r="AP18" i="4"/>
  <c r="BL18" i="4" s="1"/>
  <c r="AM18" i="4"/>
  <c r="BI18" i="4" s="1"/>
  <c r="AL18" i="4"/>
  <c r="BH18" i="4" s="1"/>
  <c r="AC18" i="4"/>
  <c r="AY18" i="4" s="1"/>
  <c r="AV18" i="4"/>
  <c r="BR18" i="4" s="1"/>
  <c r="AS18" i="4"/>
  <c r="BO18" i="4" s="1"/>
  <c r="AH18" i="4"/>
  <c r="BD18" i="4" s="1"/>
  <c r="AD18" i="4"/>
  <c r="AZ18" i="4" s="1"/>
  <c r="AX78" i="4"/>
  <c r="BT78" i="4" s="1"/>
  <c r="AP78" i="4"/>
  <c r="BL78" i="4" s="1"/>
  <c r="AH78" i="4"/>
  <c r="BD78" i="4" s="1"/>
  <c r="AU78" i="4"/>
  <c r="BQ78" i="4" s="1"/>
  <c r="AL78" i="4"/>
  <c r="BH78" i="4" s="1"/>
  <c r="AC78" i="4"/>
  <c r="AY78" i="4" s="1"/>
  <c r="AS78" i="4"/>
  <c r="BO78" i="4" s="1"/>
  <c r="AJ78" i="4"/>
  <c r="BF78" i="4" s="1"/>
  <c r="AR78" i="4"/>
  <c r="BN78" i="4" s="1"/>
  <c r="AI78" i="4"/>
  <c r="AO78" i="4"/>
  <c r="BK78" i="4" s="1"/>
  <c r="AF78" i="4"/>
  <c r="BB78" i="4" s="1"/>
  <c r="AV78" i="4"/>
  <c r="BR78" i="4" s="1"/>
  <c r="AD78" i="4"/>
  <c r="AZ78" i="4" s="1"/>
  <c r="AT78" i="4"/>
  <c r="BP78" i="4" s="1"/>
  <c r="AQ78" i="4"/>
  <c r="BM78" i="4" s="1"/>
  <c r="AN78" i="4"/>
  <c r="BJ78" i="4" s="1"/>
  <c r="AK78" i="4"/>
  <c r="BG78" i="4" s="1"/>
  <c r="AG78" i="4"/>
  <c r="BC78" i="4" s="1"/>
  <c r="AW78" i="4"/>
  <c r="BS78" i="4" s="1"/>
  <c r="AM78" i="4"/>
  <c r="BI78" i="4" s="1"/>
  <c r="AE78" i="4"/>
  <c r="BA78" i="4" s="1"/>
  <c r="AV89" i="4"/>
  <c r="BR89" i="4" s="1"/>
  <c r="AN89" i="4"/>
  <c r="BJ89" i="4" s="1"/>
  <c r="AF89" i="4"/>
  <c r="BB89" i="4" s="1"/>
  <c r="AQ89" i="4"/>
  <c r="BM89" i="4" s="1"/>
  <c r="AH89" i="4"/>
  <c r="BD89" i="4" s="1"/>
  <c r="AP89" i="4"/>
  <c r="BL89" i="4" s="1"/>
  <c r="AG89" i="4"/>
  <c r="BC89" i="4" s="1"/>
  <c r="AX89" i="4"/>
  <c r="BT89" i="4" s="1"/>
  <c r="AO89" i="4"/>
  <c r="BK89" i="4" s="1"/>
  <c r="AE89" i="4"/>
  <c r="BA89" i="4" s="1"/>
  <c r="AW89" i="4"/>
  <c r="BS89" i="4" s="1"/>
  <c r="AM89" i="4"/>
  <c r="BI89" i="4" s="1"/>
  <c r="AD89" i="4"/>
  <c r="AZ89" i="4" s="1"/>
  <c r="AT89" i="4"/>
  <c r="BP89" i="4" s="1"/>
  <c r="AK89" i="4"/>
  <c r="BG89" i="4" s="1"/>
  <c r="AU89" i="4"/>
  <c r="BQ89" i="4" s="1"/>
  <c r="AS89" i="4"/>
  <c r="BO89" i="4" s="1"/>
  <c r="AR89" i="4"/>
  <c r="BN89" i="4" s="1"/>
  <c r="AJ89" i="4"/>
  <c r="BF89" i="4" s="1"/>
  <c r="AI89" i="4"/>
  <c r="BE89" i="4" s="1"/>
  <c r="AL89" i="4"/>
  <c r="BH89" i="4" s="1"/>
  <c r="AC89" i="4"/>
  <c r="AY89" i="4" s="1"/>
  <c r="AR153" i="4"/>
  <c r="AJ153" i="4"/>
  <c r="AQ153" i="4"/>
  <c r="AI153" i="4"/>
  <c r="AX153" i="4"/>
  <c r="AP153" i="4"/>
  <c r="AH153" i="4"/>
  <c r="AW153" i="4"/>
  <c r="AO153" i="4"/>
  <c r="AG153" i="4"/>
  <c r="AU153" i="4"/>
  <c r="AM153" i="4"/>
  <c r="AE153" i="4"/>
  <c r="AF153" i="4"/>
  <c r="AD153" i="4"/>
  <c r="AV153" i="4"/>
  <c r="AC153" i="4"/>
  <c r="AT153" i="4"/>
  <c r="AN153" i="4"/>
  <c r="AS153" i="4"/>
  <c r="AL153" i="4"/>
  <c r="AK153" i="4"/>
  <c r="BP153" i="4"/>
  <c r="BH153" i="4"/>
  <c r="AZ153" i="4"/>
  <c r="BS153" i="4"/>
  <c r="BJ153" i="4"/>
  <c r="BA153" i="4"/>
  <c r="BN153" i="4"/>
  <c r="BD153" i="4"/>
  <c r="BM153" i="4"/>
  <c r="BC153" i="4"/>
  <c r="BL153" i="4"/>
  <c r="BB153" i="4"/>
  <c r="BK153" i="4"/>
  <c r="AY153" i="4"/>
  <c r="BF153" i="4"/>
  <c r="BE153" i="4"/>
  <c r="BT153" i="4"/>
  <c r="BR153" i="4"/>
  <c r="BQ153" i="4"/>
  <c r="BO153" i="4"/>
  <c r="BI153" i="4"/>
  <c r="BG153" i="4"/>
  <c r="AU116" i="4"/>
  <c r="BQ116" i="4" s="1"/>
  <c r="AM116" i="4"/>
  <c r="BI116" i="4" s="1"/>
  <c r="AE116" i="4"/>
  <c r="BA116" i="4" s="1"/>
  <c r="AS116" i="4"/>
  <c r="BO116" i="4" s="1"/>
  <c r="AJ116" i="4"/>
  <c r="BF116" i="4" s="1"/>
  <c r="AQ116" i="4"/>
  <c r="BM116" i="4" s="1"/>
  <c r="AH116" i="4"/>
  <c r="BD116" i="4" s="1"/>
  <c r="AX116" i="4"/>
  <c r="BT116" i="4" s="1"/>
  <c r="AO116" i="4"/>
  <c r="BK116" i="4" s="1"/>
  <c r="AF116" i="4"/>
  <c r="BB116" i="4" s="1"/>
  <c r="AW116" i="4"/>
  <c r="BS116" i="4" s="1"/>
  <c r="AN116" i="4"/>
  <c r="BJ116" i="4" s="1"/>
  <c r="AD116" i="4"/>
  <c r="AZ116" i="4" s="1"/>
  <c r="AV116" i="4"/>
  <c r="BR116" i="4" s="1"/>
  <c r="AC116" i="4"/>
  <c r="AY116" i="4" s="1"/>
  <c r="AT116" i="4"/>
  <c r="BP116" i="4" s="1"/>
  <c r="AR116" i="4"/>
  <c r="BN116" i="4" s="1"/>
  <c r="AP116" i="4"/>
  <c r="AK116" i="4"/>
  <c r="AL116" i="4"/>
  <c r="BH116" i="4" s="1"/>
  <c r="AI116" i="4"/>
  <c r="BE116" i="4" s="1"/>
  <c r="AG116" i="4"/>
  <c r="BC116" i="4" s="1"/>
  <c r="AU17" i="4"/>
  <c r="BQ17" i="4" s="1"/>
  <c r="AM17" i="4"/>
  <c r="BI17" i="4" s="1"/>
  <c r="AE17" i="4"/>
  <c r="BA17" i="4" s="1"/>
  <c r="AR17" i="4"/>
  <c r="BN17" i="4" s="1"/>
  <c r="AI17" i="4"/>
  <c r="BE17" i="4" s="1"/>
  <c r="AX17" i="4"/>
  <c r="BT17" i="4" s="1"/>
  <c r="AO17" i="4"/>
  <c r="BK17" i="4" s="1"/>
  <c r="AF17" i="4"/>
  <c r="BB17" i="4" s="1"/>
  <c r="AS17" i="4"/>
  <c r="BO17" i="4" s="1"/>
  <c r="AG17" i="4"/>
  <c r="BC17" i="4" s="1"/>
  <c r="AP17" i="4"/>
  <c r="BL17" i="4" s="1"/>
  <c r="AC17" i="4"/>
  <c r="AY17" i="4" s="1"/>
  <c r="AW17" i="4"/>
  <c r="BS17" i="4" s="1"/>
  <c r="AH17" i="4"/>
  <c r="BD17" i="4" s="1"/>
  <c r="AV17" i="4"/>
  <c r="BR17" i="4" s="1"/>
  <c r="AD17" i="4"/>
  <c r="AZ17" i="4" s="1"/>
  <c r="AN17" i="4"/>
  <c r="BJ17" i="4" s="1"/>
  <c r="AT17" i="4"/>
  <c r="BP17" i="4" s="1"/>
  <c r="AQ17" i="4"/>
  <c r="BM17" i="4" s="1"/>
  <c r="AL17" i="4"/>
  <c r="BH17" i="4" s="1"/>
  <c r="AK17" i="4"/>
  <c r="BG17" i="4" s="1"/>
  <c r="AJ17" i="4"/>
  <c r="BF17" i="4" s="1"/>
  <c r="AU13" i="4"/>
  <c r="BQ13" i="4" s="1"/>
  <c r="AM13" i="4"/>
  <c r="BI13" i="4" s="1"/>
  <c r="AE13" i="4"/>
  <c r="BA13" i="4" s="1"/>
  <c r="AT13" i="4"/>
  <c r="BP13" i="4" s="1"/>
  <c r="AK13" i="4"/>
  <c r="BG13" i="4" s="1"/>
  <c r="AV13" i="4"/>
  <c r="BR13" i="4" s="1"/>
  <c r="AJ13" i="4"/>
  <c r="BF13" i="4" s="1"/>
  <c r="AR13" i="4"/>
  <c r="BN13" i="4" s="1"/>
  <c r="AH13" i="4"/>
  <c r="BD13" i="4" s="1"/>
  <c r="AL13" i="4"/>
  <c r="BH13" i="4" s="1"/>
  <c r="AD13" i="4"/>
  <c r="AZ13" i="4" s="1"/>
  <c r="AX13" i="4"/>
  <c r="BT13" i="4" s="1"/>
  <c r="AI13" i="4"/>
  <c r="BE13" i="4" s="1"/>
  <c r="AQ13" i="4"/>
  <c r="BM13" i="4" s="1"/>
  <c r="AW13" i="4"/>
  <c r="BS13" i="4" s="1"/>
  <c r="AG13" i="4"/>
  <c r="BC13" i="4" s="1"/>
  <c r="AS13" i="4"/>
  <c r="BO13" i="4" s="1"/>
  <c r="AF13" i="4"/>
  <c r="BB13" i="4" s="1"/>
  <c r="AP13" i="4"/>
  <c r="BL13" i="4" s="1"/>
  <c r="AO13" i="4"/>
  <c r="BK13" i="4" s="1"/>
  <c r="AN13" i="4"/>
  <c r="BJ13" i="4" s="1"/>
  <c r="AC13" i="4"/>
  <c r="AY13" i="4" s="1"/>
  <c r="AU29" i="4"/>
  <c r="BQ29" i="4" s="1"/>
  <c r="AM29" i="4"/>
  <c r="BI29" i="4" s="1"/>
  <c r="AE29" i="4"/>
  <c r="BA29" i="4" s="1"/>
  <c r="AV29" i="4"/>
  <c r="BR29" i="4" s="1"/>
  <c r="AL29" i="4"/>
  <c r="BH29" i="4" s="1"/>
  <c r="AC29" i="4"/>
  <c r="AY29" i="4" s="1"/>
  <c r="AT29" i="4"/>
  <c r="BP29" i="4" s="1"/>
  <c r="AK29" i="4"/>
  <c r="BG29" i="4" s="1"/>
  <c r="AS29" i="4"/>
  <c r="BO29" i="4" s="1"/>
  <c r="AJ29" i="4"/>
  <c r="BF29" i="4" s="1"/>
  <c r="AR29" i="4"/>
  <c r="BN29" i="4" s="1"/>
  <c r="AI29" i="4"/>
  <c r="BE29" i="4" s="1"/>
  <c r="AP29" i="4"/>
  <c r="BL29" i="4" s="1"/>
  <c r="AG29" i="4"/>
  <c r="BC29" i="4" s="1"/>
  <c r="AH29" i="4"/>
  <c r="BD29" i="4" s="1"/>
  <c r="AD29" i="4"/>
  <c r="AZ29" i="4" s="1"/>
  <c r="AX29" i="4"/>
  <c r="BT29" i="4" s="1"/>
  <c r="AW29" i="4"/>
  <c r="AQ29" i="4"/>
  <c r="BM29" i="4" s="1"/>
  <c r="AN29" i="4"/>
  <c r="BJ29" i="4" s="1"/>
  <c r="AO29" i="4"/>
  <c r="BK29" i="4" s="1"/>
  <c r="AF29" i="4"/>
  <c r="BB29" i="4" s="1"/>
  <c r="AV61" i="4"/>
  <c r="BR61" i="4" s="1"/>
  <c r="AN61" i="4"/>
  <c r="BJ61" i="4" s="1"/>
  <c r="AF61" i="4"/>
  <c r="BB61" i="4" s="1"/>
  <c r="AX61" i="4"/>
  <c r="BT61" i="4" s="1"/>
  <c r="AO61" i="4"/>
  <c r="BK61" i="4" s="1"/>
  <c r="AE61" i="4"/>
  <c r="BA61" i="4" s="1"/>
  <c r="AR61" i="4"/>
  <c r="BN61" i="4" s="1"/>
  <c r="AH61" i="4"/>
  <c r="BD61" i="4" s="1"/>
  <c r="AQ61" i="4"/>
  <c r="BM61" i="4" s="1"/>
  <c r="AG61" i="4"/>
  <c r="BC61" i="4" s="1"/>
  <c r="AP61" i="4"/>
  <c r="BL61" i="4" s="1"/>
  <c r="AD61" i="4"/>
  <c r="AZ61" i="4" s="1"/>
  <c r="AM61" i="4"/>
  <c r="BI61" i="4" s="1"/>
  <c r="AC61" i="4"/>
  <c r="AY61" i="4" s="1"/>
  <c r="AU61" i="4"/>
  <c r="BQ61" i="4" s="1"/>
  <c r="AK61" i="4"/>
  <c r="BG61" i="4" s="1"/>
  <c r="AT61" i="4"/>
  <c r="BP61" i="4" s="1"/>
  <c r="AJ61" i="4"/>
  <c r="BF61" i="4" s="1"/>
  <c r="AW61" i="4"/>
  <c r="BS61" i="4" s="1"/>
  <c r="AS61" i="4"/>
  <c r="BO61" i="4" s="1"/>
  <c r="AL61" i="4"/>
  <c r="BH61" i="4" s="1"/>
  <c r="AI61" i="4"/>
  <c r="BE61" i="4" s="1"/>
  <c r="AV77" i="4"/>
  <c r="BR77" i="4" s="1"/>
  <c r="AN77" i="4"/>
  <c r="BJ77" i="4" s="1"/>
  <c r="AF77" i="4"/>
  <c r="BB77" i="4" s="1"/>
  <c r="AP77" i="4"/>
  <c r="BL77" i="4" s="1"/>
  <c r="AG77" i="4"/>
  <c r="BC77" i="4" s="1"/>
  <c r="AW77" i="4"/>
  <c r="BS77" i="4" s="1"/>
  <c r="AM77" i="4"/>
  <c r="BI77" i="4" s="1"/>
  <c r="AD77" i="4"/>
  <c r="AZ77" i="4" s="1"/>
  <c r="AU77" i="4"/>
  <c r="BQ77" i="4" s="1"/>
  <c r="AL77" i="4"/>
  <c r="BH77" i="4" s="1"/>
  <c r="AC77" i="4"/>
  <c r="AY77" i="4" s="1"/>
  <c r="AS77" i="4"/>
  <c r="BO77" i="4" s="1"/>
  <c r="AJ77" i="4"/>
  <c r="BF77" i="4" s="1"/>
  <c r="AH77" i="4"/>
  <c r="BD77" i="4" s="1"/>
  <c r="AX77" i="4"/>
  <c r="BT77" i="4" s="1"/>
  <c r="AE77" i="4"/>
  <c r="BA77" i="4" s="1"/>
  <c r="AT77" i="4"/>
  <c r="BP77" i="4" s="1"/>
  <c r="AR77" i="4"/>
  <c r="BN77" i="4" s="1"/>
  <c r="AO77" i="4"/>
  <c r="BK77" i="4" s="1"/>
  <c r="AK77" i="4"/>
  <c r="BG77" i="4" s="1"/>
  <c r="AQ77" i="4"/>
  <c r="BM77" i="4" s="1"/>
  <c r="AI77" i="4"/>
  <c r="BE77" i="4" s="1"/>
  <c r="AV93" i="4"/>
  <c r="BR93" i="4" s="1"/>
  <c r="AN93" i="4"/>
  <c r="BJ93" i="4" s="1"/>
  <c r="AF93" i="4"/>
  <c r="BB93" i="4" s="1"/>
  <c r="AT93" i="4"/>
  <c r="BP93" i="4" s="1"/>
  <c r="AK93" i="4"/>
  <c r="BG93" i="4" s="1"/>
  <c r="AS93" i="4"/>
  <c r="BO93" i="4" s="1"/>
  <c r="AJ93" i="4"/>
  <c r="BF93" i="4" s="1"/>
  <c r="AR93" i="4"/>
  <c r="BN93" i="4" s="1"/>
  <c r="AI93" i="4"/>
  <c r="BE93" i="4" s="1"/>
  <c r="AQ93" i="4"/>
  <c r="BM93" i="4" s="1"/>
  <c r="AH93" i="4"/>
  <c r="BD93" i="4" s="1"/>
  <c r="AX93" i="4"/>
  <c r="BT93" i="4" s="1"/>
  <c r="AO93" i="4"/>
  <c r="BK93" i="4" s="1"/>
  <c r="AE93" i="4"/>
  <c r="BA93" i="4" s="1"/>
  <c r="AL93" i="4"/>
  <c r="BH93" i="4" s="1"/>
  <c r="AG93" i="4"/>
  <c r="BC93" i="4" s="1"/>
  <c r="AD93" i="4"/>
  <c r="AZ93" i="4" s="1"/>
  <c r="AC93" i="4"/>
  <c r="AY93" i="4" s="1"/>
  <c r="AU93" i="4"/>
  <c r="BQ93" i="4" s="1"/>
  <c r="AP93" i="4"/>
  <c r="BL93" i="4" s="1"/>
  <c r="AW93" i="4"/>
  <c r="BS93" i="4" s="1"/>
  <c r="AM93" i="4"/>
  <c r="BI93" i="4" s="1"/>
  <c r="AT141" i="4"/>
  <c r="AL141" i="4"/>
  <c r="AD141" i="4"/>
  <c r="AR141" i="4"/>
  <c r="AJ141" i="4"/>
  <c r="AW141" i="4"/>
  <c r="AO141" i="4"/>
  <c r="AG141" i="4"/>
  <c r="AU141" i="4"/>
  <c r="AH141" i="4"/>
  <c r="AS141" i="4"/>
  <c r="AF141" i="4"/>
  <c r="AQ141" i="4"/>
  <c r="AE141" i="4"/>
  <c r="AP141" i="4"/>
  <c r="AC141" i="4"/>
  <c r="AN141" i="4"/>
  <c r="AM141" i="4"/>
  <c r="AV141" i="4"/>
  <c r="AX141" i="4"/>
  <c r="AK141" i="4"/>
  <c r="BP141" i="4"/>
  <c r="BH141" i="4"/>
  <c r="AZ141" i="4"/>
  <c r="AI141" i="4"/>
  <c r="BR141" i="4"/>
  <c r="BI141" i="4"/>
  <c r="AY141" i="4"/>
  <c r="BQ141" i="4"/>
  <c r="BF141" i="4"/>
  <c r="BO141" i="4"/>
  <c r="BE141" i="4"/>
  <c r="BN141" i="4"/>
  <c r="BD141" i="4"/>
  <c r="BM141" i="4"/>
  <c r="BC141" i="4"/>
  <c r="BS141" i="4"/>
  <c r="BL141" i="4"/>
  <c r="BK141" i="4"/>
  <c r="BJ141" i="4"/>
  <c r="BG141" i="4"/>
  <c r="BB141" i="4"/>
  <c r="BT141" i="4"/>
  <c r="BA141" i="4"/>
  <c r="AS16" i="4"/>
  <c r="BO16" i="4" s="1"/>
  <c r="AK16" i="4"/>
  <c r="BG16" i="4" s="1"/>
  <c r="AC16" i="4"/>
  <c r="AY16" i="4" s="1"/>
  <c r="AR16" i="4"/>
  <c r="BN16" i="4" s="1"/>
  <c r="AI16" i="4"/>
  <c r="BE16" i="4" s="1"/>
  <c r="AQ16" i="4"/>
  <c r="BM16" i="4" s="1"/>
  <c r="AG16" i="4"/>
  <c r="BC16" i="4" s="1"/>
  <c r="AO16" i="4"/>
  <c r="BK16" i="4" s="1"/>
  <c r="AE16" i="4"/>
  <c r="BA16" i="4" s="1"/>
  <c r="AN16" i="4"/>
  <c r="BJ16" i="4" s="1"/>
  <c r="AM16" i="4"/>
  <c r="AH16" i="4"/>
  <c r="BD16" i="4" s="1"/>
  <c r="AX16" i="4"/>
  <c r="BT16" i="4" s="1"/>
  <c r="AL16" i="4"/>
  <c r="BH16" i="4" s="1"/>
  <c r="AW16" i="4"/>
  <c r="BS16" i="4" s="1"/>
  <c r="AJ16" i="4"/>
  <c r="BF16" i="4" s="1"/>
  <c r="AV16" i="4"/>
  <c r="BR16" i="4" s="1"/>
  <c r="AD16" i="4"/>
  <c r="AZ16" i="4" s="1"/>
  <c r="AU16" i="4"/>
  <c r="BQ16" i="4" s="1"/>
  <c r="AT16" i="4"/>
  <c r="BP16" i="4" s="1"/>
  <c r="AP16" i="4"/>
  <c r="BL16" i="4" s="1"/>
  <c r="AF16" i="4"/>
  <c r="BB16" i="4" s="1"/>
  <c r="AU128" i="4"/>
  <c r="BQ128" i="4" s="1"/>
  <c r="AM128" i="4"/>
  <c r="BI128" i="4" s="1"/>
  <c r="AE128" i="4"/>
  <c r="BA128" i="4" s="1"/>
  <c r="AT128" i="4"/>
  <c r="BP128" i="4" s="1"/>
  <c r="AK128" i="4"/>
  <c r="BG128" i="4" s="1"/>
  <c r="AS128" i="4"/>
  <c r="BO128" i="4" s="1"/>
  <c r="AJ128" i="4"/>
  <c r="BF128" i="4" s="1"/>
  <c r="AR128" i="4"/>
  <c r="BN128" i="4" s="1"/>
  <c r="AI128" i="4"/>
  <c r="BE128" i="4" s="1"/>
  <c r="AQ128" i="4"/>
  <c r="BM128" i="4" s="1"/>
  <c r="AH128" i="4"/>
  <c r="BD128" i="4" s="1"/>
  <c r="AP128" i="4"/>
  <c r="BL128" i="4" s="1"/>
  <c r="AG128" i="4"/>
  <c r="BC128" i="4" s="1"/>
  <c r="AX128" i="4"/>
  <c r="BT128" i="4" s="1"/>
  <c r="AO128" i="4"/>
  <c r="BK128" i="4" s="1"/>
  <c r="AF128" i="4"/>
  <c r="BB128" i="4" s="1"/>
  <c r="AN128" i="4"/>
  <c r="BJ128" i="4" s="1"/>
  <c r="AL128" i="4"/>
  <c r="BH128" i="4" s="1"/>
  <c r="AD128" i="4"/>
  <c r="AZ128" i="4" s="1"/>
  <c r="AC128" i="4"/>
  <c r="AY128" i="4" s="1"/>
  <c r="AW128" i="4"/>
  <c r="BS128" i="4" s="1"/>
  <c r="AV128" i="4"/>
  <c r="BR128" i="4" s="1"/>
  <c r="AQ43" i="4"/>
  <c r="BM43" i="4" s="1"/>
  <c r="AI43" i="4"/>
  <c r="BE43" i="4" s="1"/>
  <c r="AX43" i="4"/>
  <c r="BT43" i="4" s="1"/>
  <c r="AO43" i="4"/>
  <c r="BK43" i="4" s="1"/>
  <c r="AF43" i="4"/>
  <c r="BB43" i="4" s="1"/>
  <c r="AW43" i="4"/>
  <c r="BS43" i="4" s="1"/>
  <c r="AN43" i="4"/>
  <c r="BJ43" i="4" s="1"/>
  <c r="AE43" i="4"/>
  <c r="BA43" i="4" s="1"/>
  <c r="AV43" i="4"/>
  <c r="BR43" i="4" s="1"/>
  <c r="AM43" i="4"/>
  <c r="BI43" i="4" s="1"/>
  <c r="AD43" i="4"/>
  <c r="AZ43" i="4" s="1"/>
  <c r="AU43" i="4"/>
  <c r="BQ43" i="4" s="1"/>
  <c r="AL43" i="4"/>
  <c r="BH43" i="4" s="1"/>
  <c r="AC43" i="4"/>
  <c r="AY43" i="4" s="1"/>
  <c r="AS43" i="4"/>
  <c r="BO43" i="4" s="1"/>
  <c r="AJ43" i="4"/>
  <c r="BF43" i="4" s="1"/>
  <c r="AR43" i="4"/>
  <c r="BN43" i="4" s="1"/>
  <c r="AK43" i="4"/>
  <c r="BG43" i="4" s="1"/>
  <c r="AH43" i="4"/>
  <c r="BD43" i="4" s="1"/>
  <c r="AG43" i="4"/>
  <c r="BC43" i="4" s="1"/>
  <c r="AT43" i="4"/>
  <c r="BP43" i="4" s="1"/>
  <c r="AP43" i="4"/>
  <c r="BL43" i="4" s="1"/>
  <c r="AR59" i="4"/>
  <c r="BN59" i="4" s="1"/>
  <c r="AJ59" i="4"/>
  <c r="BF59" i="4" s="1"/>
  <c r="AV59" i="4"/>
  <c r="BR59" i="4" s="1"/>
  <c r="AM59" i="4"/>
  <c r="BI59" i="4" s="1"/>
  <c r="AD59" i="4"/>
  <c r="AZ59" i="4" s="1"/>
  <c r="AT59" i="4"/>
  <c r="BP59" i="4" s="1"/>
  <c r="AI59" i="4"/>
  <c r="BE59" i="4" s="1"/>
  <c r="AS59" i="4"/>
  <c r="BO59" i="4" s="1"/>
  <c r="AH59" i="4"/>
  <c r="BD59" i="4" s="1"/>
  <c r="AQ59" i="4"/>
  <c r="BM59" i="4" s="1"/>
  <c r="AG59" i="4"/>
  <c r="BC59" i="4" s="1"/>
  <c r="AP59" i="4"/>
  <c r="BL59" i="4" s="1"/>
  <c r="AF59" i="4"/>
  <c r="BB59" i="4" s="1"/>
  <c r="AX59" i="4"/>
  <c r="BT59" i="4" s="1"/>
  <c r="AN59" i="4"/>
  <c r="BJ59" i="4" s="1"/>
  <c r="AC59" i="4"/>
  <c r="AY59" i="4" s="1"/>
  <c r="AW59" i="4"/>
  <c r="BS59" i="4" s="1"/>
  <c r="AL59" i="4"/>
  <c r="BH59" i="4" s="1"/>
  <c r="AU59" i="4"/>
  <c r="BQ59" i="4" s="1"/>
  <c r="AO59" i="4"/>
  <c r="BK59" i="4" s="1"/>
  <c r="AK59" i="4"/>
  <c r="BG59" i="4" s="1"/>
  <c r="AE59" i="4"/>
  <c r="BA59" i="4" s="1"/>
  <c r="AR75" i="4"/>
  <c r="BN75" i="4" s="1"/>
  <c r="AJ75" i="4"/>
  <c r="BF75" i="4" s="1"/>
  <c r="AW75" i="4"/>
  <c r="BS75" i="4" s="1"/>
  <c r="AN75" i="4"/>
  <c r="BJ75" i="4" s="1"/>
  <c r="AE75" i="4"/>
  <c r="BA75" i="4" s="1"/>
  <c r="AU75" i="4"/>
  <c r="BQ75" i="4" s="1"/>
  <c r="AL75" i="4"/>
  <c r="BH75" i="4" s="1"/>
  <c r="AC75" i="4"/>
  <c r="AY75" i="4" s="1"/>
  <c r="AT75" i="4"/>
  <c r="BP75" i="4" s="1"/>
  <c r="AK75" i="4"/>
  <c r="BG75" i="4" s="1"/>
  <c r="AQ75" i="4"/>
  <c r="BM75" i="4" s="1"/>
  <c r="AH75" i="4"/>
  <c r="BD75" i="4" s="1"/>
  <c r="AO75" i="4"/>
  <c r="BK75" i="4" s="1"/>
  <c r="AM75" i="4"/>
  <c r="BI75" i="4" s="1"/>
  <c r="AI75" i="4"/>
  <c r="BE75" i="4" s="1"/>
  <c r="AG75" i="4"/>
  <c r="BC75" i="4" s="1"/>
  <c r="AV75" i="4"/>
  <c r="BR75" i="4" s="1"/>
  <c r="AD75" i="4"/>
  <c r="AZ75" i="4" s="1"/>
  <c r="AS75" i="4"/>
  <c r="BO75" i="4" s="1"/>
  <c r="AX75" i="4"/>
  <c r="BT75" i="4" s="1"/>
  <c r="AF75" i="4"/>
  <c r="AP75" i="4"/>
  <c r="BL75" i="4" s="1"/>
  <c r="AX62" i="4"/>
  <c r="BT62" i="4" s="1"/>
  <c r="AP62" i="4"/>
  <c r="BL62" i="4" s="1"/>
  <c r="AH62" i="4"/>
  <c r="BD62" i="4" s="1"/>
  <c r="AT62" i="4"/>
  <c r="BP62" i="4" s="1"/>
  <c r="AK62" i="4"/>
  <c r="BG62" i="4" s="1"/>
  <c r="AQ62" i="4"/>
  <c r="BM62" i="4" s="1"/>
  <c r="AF62" i="4"/>
  <c r="BB62" i="4" s="1"/>
  <c r="AO62" i="4"/>
  <c r="BK62" i="4" s="1"/>
  <c r="AE62" i="4"/>
  <c r="BA62" i="4" s="1"/>
  <c r="AN62" i="4"/>
  <c r="BJ62" i="4" s="1"/>
  <c r="AD62" i="4"/>
  <c r="AZ62" i="4" s="1"/>
  <c r="AW62" i="4"/>
  <c r="BS62" i="4" s="1"/>
  <c r="AM62" i="4"/>
  <c r="BI62" i="4" s="1"/>
  <c r="AC62" i="4"/>
  <c r="AY62" i="4" s="1"/>
  <c r="AU62" i="4"/>
  <c r="BQ62" i="4" s="1"/>
  <c r="AJ62" i="4"/>
  <c r="BF62" i="4" s="1"/>
  <c r="AS62" i="4"/>
  <c r="BO62" i="4" s="1"/>
  <c r="AI62" i="4"/>
  <c r="BE62" i="4" s="1"/>
  <c r="AL62" i="4"/>
  <c r="BH62" i="4" s="1"/>
  <c r="AV62" i="4"/>
  <c r="BR62" i="4" s="1"/>
  <c r="AR62" i="4"/>
  <c r="BN62" i="4" s="1"/>
  <c r="AG62" i="4"/>
  <c r="BC62" i="4" s="1"/>
  <c r="AV57" i="4"/>
  <c r="BR57" i="4" s="1"/>
  <c r="AN57" i="4"/>
  <c r="BJ57" i="4" s="1"/>
  <c r="AF57" i="4"/>
  <c r="BB57" i="4" s="1"/>
  <c r="AT57" i="4"/>
  <c r="BP57" i="4" s="1"/>
  <c r="AK57" i="4"/>
  <c r="BG57" i="4" s="1"/>
  <c r="AW57" i="4"/>
  <c r="BS57" i="4" s="1"/>
  <c r="AL57" i="4"/>
  <c r="BH57" i="4" s="1"/>
  <c r="AU57" i="4"/>
  <c r="BQ57" i="4" s="1"/>
  <c r="AJ57" i="4"/>
  <c r="BF57" i="4" s="1"/>
  <c r="AS57" i="4"/>
  <c r="BO57" i="4" s="1"/>
  <c r="AI57" i="4"/>
  <c r="BE57" i="4" s="1"/>
  <c r="AR57" i="4"/>
  <c r="BN57" i="4" s="1"/>
  <c r="AH57" i="4"/>
  <c r="BD57" i="4" s="1"/>
  <c r="AP57" i="4"/>
  <c r="BL57" i="4" s="1"/>
  <c r="AE57" i="4"/>
  <c r="BA57" i="4" s="1"/>
  <c r="AO57" i="4"/>
  <c r="BK57" i="4" s="1"/>
  <c r="AD57" i="4"/>
  <c r="AZ57" i="4" s="1"/>
  <c r="AC57" i="4"/>
  <c r="AY57" i="4" s="1"/>
  <c r="AX57" i="4"/>
  <c r="BT57" i="4" s="1"/>
  <c r="AQ57" i="4"/>
  <c r="BM57" i="4" s="1"/>
  <c r="AM57" i="4"/>
  <c r="BI57" i="4" s="1"/>
  <c r="AG57" i="4"/>
  <c r="BC57" i="4" s="1"/>
  <c r="AS20" i="4"/>
  <c r="BO20" i="4" s="1"/>
  <c r="AK20" i="4"/>
  <c r="BG20" i="4" s="1"/>
  <c r="AC20" i="4"/>
  <c r="AY20" i="4" s="1"/>
  <c r="AR20" i="4"/>
  <c r="BN20" i="4" s="1"/>
  <c r="AI20" i="4"/>
  <c r="BE20" i="4" s="1"/>
  <c r="AQ20" i="4"/>
  <c r="BM20" i="4" s="1"/>
  <c r="AH20" i="4"/>
  <c r="BD20" i="4" s="1"/>
  <c r="AP20" i="4"/>
  <c r="BL20" i="4" s="1"/>
  <c r="AG20" i="4"/>
  <c r="BC20" i="4" s="1"/>
  <c r="AV20" i="4"/>
  <c r="BR20" i="4" s="1"/>
  <c r="AM20" i="4"/>
  <c r="BI20" i="4" s="1"/>
  <c r="AD20" i="4"/>
  <c r="AZ20" i="4" s="1"/>
  <c r="AJ20" i="4"/>
  <c r="BF20" i="4" s="1"/>
  <c r="AW20" i="4"/>
  <c r="BS20" i="4" s="1"/>
  <c r="AE20" i="4"/>
  <c r="BA20" i="4" s="1"/>
  <c r="AO20" i="4"/>
  <c r="BK20" i="4" s="1"/>
  <c r="AN20" i="4"/>
  <c r="BJ20" i="4" s="1"/>
  <c r="AL20" i="4"/>
  <c r="BH20" i="4" s="1"/>
  <c r="AF20" i="4"/>
  <c r="BB20" i="4" s="1"/>
  <c r="AX20" i="4"/>
  <c r="BT20" i="4" s="1"/>
  <c r="AU20" i="4"/>
  <c r="BQ20" i="4" s="1"/>
  <c r="AT20" i="4"/>
  <c r="BP20" i="4" s="1"/>
  <c r="AQ23" i="4"/>
  <c r="BM23" i="4" s="1"/>
  <c r="AI23" i="4"/>
  <c r="BE23" i="4" s="1"/>
  <c r="AP23" i="4"/>
  <c r="BL23" i="4" s="1"/>
  <c r="AG23" i="4"/>
  <c r="BC23" i="4" s="1"/>
  <c r="AX23" i="4"/>
  <c r="BT23" i="4" s="1"/>
  <c r="AO23" i="4"/>
  <c r="BK23" i="4" s="1"/>
  <c r="AF23" i="4"/>
  <c r="BB23" i="4" s="1"/>
  <c r="AW23" i="4"/>
  <c r="BS23" i="4" s="1"/>
  <c r="AN23" i="4"/>
  <c r="BJ23" i="4" s="1"/>
  <c r="AE23" i="4"/>
  <c r="BA23" i="4" s="1"/>
  <c r="AV23" i="4"/>
  <c r="BR23" i="4" s="1"/>
  <c r="AM23" i="4"/>
  <c r="BI23" i="4" s="1"/>
  <c r="AT23" i="4"/>
  <c r="BP23" i="4" s="1"/>
  <c r="AK23" i="4"/>
  <c r="BG23" i="4" s="1"/>
  <c r="AS23" i="4"/>
  <c r="BO23" i="4" s="1"/>
  <c r="AL23" i="4"/>
  <c r="BH23" i="4" s="1"/>
  <c r="AJ23" i="4"/>
  <c r="BF23" i="4" s="1"/>
  <c r="AU23" i="4"/>
  <c r="BQ23" i="4" s="1"/>
  <c r="AR23" i="4"/>
  <c r="BN23" i="4" s="1"/>
  <c r="AD23" i="4"/>
  <c r="AZ23" i="4" s="1"/>
  <c r="AC23" i="4"/>
  <c r="AY23" i="4" s="1"/>
  <c r="AH23" i="4"/>
  <c r="BD23" i="4" s="1"/>
  <c r="AQ39" i="4"/>
  <c r="BM39" i="4" s="1"/>
  <c r="AI39" i="4"/>
  <c r="BE39" i="4" s="1"/>
  <c r="AU39" i="4"/>
  <c r="BQ39" i="4" s="1"/>
  <c r="AL39" i="4"/>
  <c r="BH39" i="4" s="1"/>
  <c r="AC39" i="4"/>
  <c r="AY39" i="4" s="1"/>
  <c r="AT39" i="4"/>
  <c r="BP39" i="4" s="1"/>
  <c r="AK39" i="4"/>
  <c r="BG39" i="4" s="1"/>
  <c r="AS39" i="4"/>
  <c r="BO39" i="4" s="1"/>
  <c r="AJ39" i="4"/>
  <c r="BF39" i="4" s="1"/>
  <c r="AR39" i="4"/>
  <c r="BN39" i="4" s="1"/>
  <c r="AH39" i="4"/>
  <c r="BD39" i="4" s="1"/>
  <c r="AX39" i="4"/>
  <c r="BT39" i="4" s="1"/>
  <c r="AO39" i="4"/>
  <c r="BK39" i="4" s="1"/>
  <c r="AF39" i="4"/>
  <c r="BB39" i="4" s="1"/>
  <c r="AG39" i="4"/>
  <c r="BC39" i="4" s="1"/>
  <c r="AD39" i="4"/>
  <c r="AZ39" i="4" s="1"/>
  <c r="AW39" i="4"/>
  <c r="BS39" i="4" s="1"/>
  <c r="AV39" i="4"/>
  <c r="BR39" i="4" s="1"/>
  <c r="AP39" i="4"/>
  <c r="BL39" i="4" s="1"/>
  <c r="AE39" i="4"/>
  <c r="BA39" i="4" s="1"/>
  <c r="AN39" i="4"/>
  <c r="BJ39" i="4" s="1"/>
  <c r="AM39" i="4"/>
  <c r="BI39" i="4" s="1"/>
  <c r="AR55" i="4"/>
  <c r="BN55" i="4" s="1"/>
  <c r="AJ55" i="4"/>
  <c r="BF55" i="4" s="1"/>
  <c r="AS55" i="4"/>
  <c r="BO55" i="4" s="1"/>
  <c r="AI55" i="4"/>
  <c r="BE55" i="4" s="1"/>
  <c r="AX55" i="4"/>
  <c r="BT55" i="4" s="1"/>
  <c r="AN55" i="4"/>
  <c r="BJ55" i="4" s="1"/>
  <c r="AD55" i="4"/>
  <c r="AZ55" i="4" s="1"/>
  <c r="AW55" i="4"/>
  <c r="BS55" i="4" s="1"/>
  <c r="AM55" i="4"/>
  <c r="BI55" i="4" s="1"/>
  <c r="AC55" i="4"/>
  <c r="AY55" i="4" s="1"/>
  <c r="AV55" i="4"/>
  <c r="BR55" i="4" s="1"/>
  <c r="AL55" i="4"/>
  <c r="BH55" i="4" s="1"/>
  <c r="AU55" i="4"/>
  <c r="BQ55" i="4" s="1"/>
  <c r="AK55" i="4"/>
  <c r="BG55" i="4" s="1"/>
  <c r="AQ55" i="4"/>
  <c r="BM55" i="4" s="1"/>
  <c r="AG55" i="4"/>
  <c r="BC55" i="4" s="1"/>
  <c r="AP55" i="4"/>
  <c r="BL55" i="4" s="1"/>
  <c r="AF55" i="4"/>
  <c r="BB55" i="4" s="1"/>
  <c r="AE55" i="4"/>
  <c r="BA55" i="4" s="1"/>
  <c r="AO55" i="4"/>
  <c r="BK55" i="4" s="1"/>
  <c r="AH55" i="4"/>
  <c r="BD55" i="4" s="1"/>
  <c r="AT55" i="4"/>
  <c r="BP55" i="4" s="1"/>
  <c r="AS119" i="4"/>
  <c r="BO119" i="4" s="1"/>
  <c r="AK119" i="4"/>
  <c r="BG119" i="4" s="1"/>
  <c r="AC119" i="4"/>
  <c r="AY119" i="4" s="1"/>
  <c r="AQ119" i="4"/>
  <c r="BM119" i="4" s="1"/>
  <c r="AH119" i="4"/>
  <c r="BD119" i="4" s="1"/>
  <c r="AX119" i="4"/>
  <c r="BT119" i="4" s="1"/>
  <c r="AO119" i="4"/>
  <c r="BK119" i="4" s="1"/>
  <c r="AF119" i="4"/>
  <c r="BB119" i="4" s="1"/>
  <c r="AW119" i="4"/>
  <c r="BS119" i="4" s="1"/>
  <c r="AN119" i="4"/>
  <c r="BJ119" i="4" s="1"/>
  <c r="AE119" i="4"/>
  <c r="BA119" i="4" s="1"/>
  <c r="AV119" i="4"/>
  <c r="BR119" i="4" s="1"/>
  <c r="AM119" i="4"/>
  <c r="BI119" i="4" s="1"/>
  <c r="AD119" i="4"/>
  <c r="AZ119" i="4" s="1"/>
  <c r="AU119" i="4"/>
  <c r="BQ119" i="4" s="1"/>
  <c r="AL119" i="4"/>
  <c r="BH119" i="4" s="1"/>
  <c r="AG119" i="4"/>
  <c r="BC119" i="4" s="1"/>
  <c r="AT119" i="4"/>
  <c r="BP119" i="4" s="1"/>
  <c r="AP119" i="4"/>
  <c r="BL119" i="4" s="1"/>
  <c r="AJ119" i="4"/>
  <c r="BF119" i="4" s="1"/>
  <c r="AI119" i="4"/>
  <c r="BE119" i="4" s="1"/>
  <c r="AR119" i="4"/>
  <c r="BN119" i="4" s="1"/>
  <c r="AV151" i="4"/>
  <c r="AN151" i="4"/>
  <c r="AF151" i="4"/>
  <c r="AU151" i="4"/>
  <c r="AM151" i="4"/>
  <c r="AE151" i="4"/>
  <c r="AT151" i="4"/>
  <c r="AL151" i="4"/>
  <c r="AD151" i="4"/>
  <c r="AS151" i="4"/>
  <c r="AK151" i="4"/>
  <c r="AC151" i="4"/>
  <c r="AQ151" i="4"/>
  <c r="AI151" i="4"/>
  <c r="AH151" i="4"/>
  <c r="AX151" i="4"/>
  <c r="AW151" i="4"/>
  <c r="AP151" i="4"/>
  <c r="AR151" i="4"/>
  <c r="AO151" i="4"/>
  <c r="AJ151" i="4"/>
  <c r="AG151" i="4"/>
  <c r="BT151" i="4"/>
  <c r="BL151" i="4"/>
  <c r="BD151" i="4"/>
  <c r="BQ151" i="4"/>
  <c r="BH151" i="4"/>
  <c r="AY151" i="4"/>
  <c r="BP151" i="4"/>
  <c r="BF151" i="4"/>
  <c r="BO151" i="4"/>
  <c r="BE151" i="4"/>
  <c r="BN151" i="4"/>
  <c r="BC151" i="4"/>
  <c r="BM151" i="4"/>
  <c r="BB151" i="4"/>
  <c r="BI151" i="4"/>
  <c r="BG151" i="4"/>
  <c r="BA151" i="4"/>
  <c r="BR151" i="4"/>
  <c r="AZ151" i="4"/>
  <c r="BS151" i="4"/>
  <c r="BK151" i="4"/>
  <c r="BJ151" i="4"/>
  <c r="AX50" i="4"/>
  <c r="BT50" i="4" s="1"/>
  <c r="AP50" i="4"/>
  <c r="BL50" i="4" s="1"/>
  <c r="AH50" i="4"/>
  <c r="BD50" i="4" s="1"/>
  <c r="AS50" i="4"/>
  <c r="BO50" i="4" s="1"/>
  <c r="AJ50" i="4"/>
  <c r="BF50" i="4" s="1"/>
  <c r="AT50" i="4"/>
  <c r="BP50" i="4" s="1"/>
  <c r="AI50" i="4"/>
  <c r="BE50" i="4" s="1"/>
  <c r="AR50" i="4"/>
  <c r="BN50" i="4" s="1"/>
  <c r="AG50" i="4"/>
  <c r="BC50" i="4" s="1"/>
  <c r="AQ50" i="4"/>
  <c r="BM50" i="4" s="1"/>
  <c r="AF50" i="4"/>
  <c r="BB50" i="4" s="1"/>
  <c r="AO50" i="4"/>
  <c r="BK50" i="4" s="1"/>
  <c r="AE50" i="4"/>
  <c r="BA50" i="4" s="1"/>
  <c r="AW50" i="4"/>
  <c r="BS50" i="4" s="1"/>
  <c r="AM50" i="4"/>
  <c r="BI50" i="4" s="1"/>
  <c r="AC50" i="4"/>
  <c r="AY50" i="4" s="1"/>
  <c r="AV50" i="4"/>
  <c r="BR50" i="4" s="1"/>
  <c r="AN50" i="4"/>
  <c r="BJ50" i="4" s="1"/>
  <c r="AL50" i="4"/>
  <c r="BH50" i="4" s="1"/>
  <c r="AU50" i="4"/>
  <c r="BQ50" i="4" s="1"/>
  <c r="AK50" i="4"/>
  <c r="BG50" i="4" s="1"/>
  <c r="AD50" i="4"/>
  <c r="AZ50" i="4" s="1"/>
  <c r="AQ130" i="4"/>
  <c r="BM130" i="4" s="1"/>
  <c r="AI130" i="4"/>
  <c r="BE130" i="4" s="1"/>
  <c r="AV130" i="4"/>
  <c r="BR130" i="4" s="1"/>
  <c r="AM130" i="4"/>
  <c r="BI130" i="4" s="1"/>
  <c r="AD130" i="4"/>
  <c r="AZ130" i="4" s="1"/>
  <c r="AU130" i="4"/>
  <c r="BQ130" i="4" s="1"/>
  <c r="AL130" i="4"/>
  <c r="BH130" i="4" s="1"/>
  <c r="AC130" i="4"/>
  <c r="AY130" i="4" s="1"/>
  <c r="AT130" i="4"/>
  <c r="BP130" i="4" s="1"/>
  <c r="AK130" i="4"/>
  <c r="BG130" i="4" s="1"/>
  <c r="AS130" i="4"/>
  <c r="BO130" i="4" s="1"/>
  <c r="AJ130" i="4"/>
  <c r="BF130" i="4" s="1"/>
  <c r="AR130" i="4"/>
  <c r="BN130" i="4" s="1"/>
  <c r="AH130" i="4"/>
  <c r="BD130" i="4" s="1"/>
  <c r="AP130" i="4"/>
  <c r="BL130" i="4" s="1"/>
  <c r="AG130" i="4"/>
  <c r="BC130" i="4" s="1"/>
  <c r="AF130" i="4"/>
  <c r="BB130" i="4" s="1"/>
  <c r="AE130" i="4"/>
  <c r="AW130" i="4"/>
  <c r="BS130" i="4" s="1"/>
  <c r="AO130" i="4"/>
  <c r="BK130" i="4" s="1"/>
  <c r="AN130" i="4"/>
  <c r="BJ130" i="4" s="1"/>
  <c r="AX130" i="4"/>
  <c r="BT130" i="4" s="1"/>
  <c r="AS115" i="4"/>
  <c r="BO115" i="4" s="1"/>
  <c r="AK115" i="4"/>
  <c r="BG115" i="4" s="1"/>
  <c r="AC115" i="4"/>
  <c r="AY115" i="4" s="1"/>
  <c r="AW115" i="4"/>
  <c r="BS115" i="4" s="1"/>
  <c r="AN115" i="4"/>
  <c r="BJ115" i="4" s="1"/>
  <c r="AE115" i="4"/>
  <c r="BA115" i="4" s="1"/>
  <c r="AU115" i="4"/>
  <c r="BQ115" i="4" s="1"/>
  <c r="AL115" i="4"/>
  <c r="BH115" i="4" s="1"/>
  <c r="AR115" i="4"/>
  <c r="BN115" i="4" s="1"/>
  <c r="AI115" i="4"/>
  <c r="BE115" i="4" s="1"/>
  <c r="AQ115" i="4"/>
  <c r="BM115" i="4" s="1"/>
  <c r="AH115" i="4"/>
  <c r="BD115" i="4" s="1"/>
  <c r="AG115" i="4"/>
  <c r="BC115" i="4" s="1"/>
  <c r="AX115" i="4"/>
  <c r="BT115" i="4" s="1"/>
  <c r="AF115" i="4"/>
  <c r="BB115" i="4" s="1"/>
  <c r="AV115" i="4"/>
  <c r="BR115" i="4" s="1"/>
  <c r="AD115" i="4"/>
  <c r="AZ115" i="4" s="1"/>
  <c r="AT115" i="4"/>
  <c r="BP115" i="4" s="1"/>
  <c r="AO115" i="4"/>
  <c r="BK115" i="4" s="1"/>
  <c r="AP115" i="4"/>
  <c r="BL115" i="4" s="1"/>
  <c r="AJ115" i="4"/>
  <c r="BF115" i="4" s="1"/>
  <c r="AM115" i="4"/>
  <c r="BI115" i="4" s="1"/>
  <c r="AV155" i="4"/>
  <c r="AN155" i="4"/>
  <c r="AF155" i="4"/>
  <c r="AU155" i="4"/>
  <c r="AM155" i="4"/>
  <c r="AE155" i="4"/>
  <c r="AT155" i="4"/>
  <c r="AL155" i="4"/>
  <c r="AD155" i="4"/>
  <c r="AS155" i="4"/>
  <c r="AK155" i="4"/>
  <c r="AC155" i="4"/>
  <c r="AQ155" i="4"/>
  <c r="AI155" i="4"/>
  <c r="AG155" i="4"/>
  <c r="AX155" i="4"/>
  <c r="AW155" i="4"/>
  <c r="AR155" i="4"/>
  <c r="AO155" i="4"/>
  <c r="AP155" i="4"/>
  <c r="AJ155" i="4"/>
  <c r="AH155" i="4"/>
  <c r="BT155" i="4"/>
  <c r="BL155" i="4"/>
  <c r="BD155" i="4"/>
  <c r="BK155" i="4"/>
  <c r="BB155" i="4"/>
  <c r="BM155" i="4"/>
  <c r="BA155" i="4"/>
  <c r="BJ155" i="4"/>
  <c r="AZ155" i="4"/>
  <c r="BS155" i="4"/>
  <c r="BI155" i="4"/>
  <c r="AY155" i="4"/>
  <c r="BR155" i="4"/>
  <c r="BH155" i="4"/>
  <c r="BE155" i="4"/>
  <c r="BC155" i="4"/>
  <c r="BQ155" i="4"/>
  <c r="BN155" i="4"/>
  <c r="BP155" i="4"/>
  <c r="BO155" i="4"/>
  <c r="BG155" i="4"/>
  <c r="BF155" i="4"/>
  <c r="AT60" i="4"/>
  <c r="BP60" i="4" s="1"/>
  <c r="AL60" i="4"/>
  <c r="BH60" i="4" s="1"/>
  <c r="AD60" i="4"/>
  <c r="AZ60" i="4" s="1"/>
  <c r="AR60" i="4"/>
  <c r="BN60" i="4" s="1"/>
  <c r="AI60" i="4"/>
  <c r="BE60" i="4" s="1"/>
  <c r="AS60" i="4"/>
  <c r="BO60" i="4" s="1"/>
  <c r="AH60" i="4"/>
  <c r="BD60" i="4" s="1"/>
  <c r="AQ60" i="4"/>
  <c r="BM60" i="4" s="1"/>
  <c r="AG60" i="4"/>
  <c r="BC60" i="4" s="1"/>
  <c r="AP60" i="4"/>
  <c r="BL60" i="4" s="1"/>
  <c r="AF60" i="4"/>
  <c r="BB60" i="4" s="1"/>
  <c r="AO60" i="4"/>
  <c r="BK60" i="4" s="1"/>
  <c r="AE60" i="4"/>
  <c r="BA60" i="4" s="1"/>
  <c r="AW60" i="4"/>
  <c r="BS60" i="4" s="1"/>
  <c r="AM60" i="4"/>
  <c r="BI60" i="4" s="1"/>
  <c r="AV60" i="4"/>
  <c r="BR60" i="4" s="1"/>
  <c r="AK60" i="4"/>
  <c r="BG60" i="4" s="1"/>
  <c r="AN60" i="4"/>
  <c r="BJ60" i="4" s="1"/>
  <c r="AC60" i="4"/>
  <c r="AY60" i="4" s="1"/>
  <c r="AJ60" i="4"/>
  <c r="BF60" i="4" s="1"/>
  <c r="AX60" i="4"/>
  <c r="BT60" i="4" s="1"/>
  <c r="AU60" i="4"/>
  <c r="BQ60" i="4" s="1"/>
  <c r="AW113" i="4"/>
  <c r="BS113" i="4" s="1"/>
  <c r="AO113" i="4"/>
  <c r="BK113" i="4" s="1"/>
  <c r="AG113" i="4"/>
  <c r="BC113" i="4" s="1"/>
  <c r="AU113" i="4"/>
  <c r="AL113" i="4"/>
  <c r="BH113" i="4" s="1"/>
  <c r="AC113" i="4"/>
  <c r="AY113" i="4" s="1"/>
  <c r="AS113" i="4"/>
  <c r="BO113" i="4" s="1"/>
  <c r="AJ113" i="4"/>
  <c r="BF113" i="4" s="1"/>
  <c r="AQ113" i="4"/>
  <c r="BM113" i="4" s="1"/>
  <c r="AP113" i="4"/>
  <c r="BL113" i="4" s="1"/>
  <c r="AF113" i="4"/>
  <c r="BB113" i="4" s="1"/>
  <c r="AN113" i="4"/>
  <c r="BJ113" i="4" s="1"/>
  <c r="AM113" i="4"/>
  <c r="BI113" i="4" s="1"/>
  <c r="AK113" i="4"/>
  <c r="BG113" i="4" s="1"/>
  <c r="AI113" i="4"/>
  <c r="BE113" i="4" s="1"/>
  <c r="AV113" i="4"/>
  <c r="BR113" i="4" s="1"/>
  <c r="AE113" i="4"/>
  <c r="BA113" i="4" s="1"/>
  <c r="AX113" i="4"/>
  <c r="BT113" i="4" s="1"/>
  <c r="AT113" i="4"/>
  <c r="BP113" i="4" s="1"/>
  <c r="AR113" i="4"/>
  <c r="BN113" i="4" s="1"/>
  <c r="AD113" i="4"/>
  <c r="AZ113" i="4" s="1"/>
  <c r="AH113" i="4"/>
  <c r="BD113" i="4" s="1"/>
  <c r="AU25" i="4"/>
  <c r="BQ25" i="4" s="1"/>
  <c r="AM25" i="4"/>
  <c r="BI25" i="4" s="1"/>
  <c r="AE25" i="4"/>
  <c r="BA25" i="4" s="1"/>
  <c r="AR25" i="4"/>
  <c r="BN25" i="4" s="1"/>
  <c r="AI25" i="4"/>
  <c r="BE25" i="4" s="1"/>
  <c r="AQ25" i="4"/>
  <c r="AH25" i="4"/>
  <c r="BD25" i="4" s="1"/>
  <c r="AP25" i="4"/>
  <c r="BL25" i="4" s="1"/>
  <c r="AG25" i="4"/>
  <c r="BC25" i="4" s="1"/>
  <c r="AX25" i="4"/>
  <c r="BT25" i="4" s="1"/>
  <c r="AO25" i="4"/>
  <c r="BK25" i="4" s="1"/>
  <c r="AF25" i="4"/>
  <c r="BB25" i="4" s="1"/>
  <c r="AV25" i="4"/>
  <c r="BR25" i="4" s="1"/>
  <c r="AL25" i="4"/>
  <c r="AC25" i="4"/>
  <c r="AY25" i="4" s="1"/>
  <c r="AW25" i="4"/>
  <c r="BS25" i="4" s="1"/>
  <c r="AS25" i="4"/>
  <c r="BO25" i="4" s="1"/>
  <c r="AN25" i="4"/>
  <c r="BJ25" i="4" s="1"/>
  <c r="AK25" i="4"/>
  <c r="BG25" i="4" s="1"/>
  <c r="AJ25" i="4"/>
  <c r="BF25" i="4" s="1"/>
  <c r="AD25" i="4"/>
  <c r="AZ25" i="4" s="1"/>
  <c r="AT25" i="4"/>
  <c r="AV81" i="4"/>
  <c r="BR81" i="4" s="1"/>
  <c r="AN81" i="4"/>
  <c r="BJ81" i="4" s="1"/>
  <c r="AF81" i="4"/>
  <c r="BB81" i="4" s="1"/>
  <c r="AS81" i="4"/>
  <c r="BO81" i="4" s="1"/>
  <c r="AJ81" i="4"/>
  <c r="BF81" i="4" s="1"/>
  <c r="AQ81" i="4"/>
  <c r="BM81" i="4" s="1"/>
  <c r="AH81" i="4"/>
  <c r="BD81" i="4" s="1"/>
  <c r="AP81" i="4"/>
  <c r="BL81" i="4" s="1"/>
  <c r="AG81" i="4"/>
  <c r="BC81" i="4" s="1"/>
  <c r="AW81" i="4"/>
  <c r="BS81" i="4" s="1"/>
  <c r="AM81" i="4"/>
  <c r="BI81" i="4" s="1"/>
  <c r="AD81" i="4"/>
  <c r="AZ81" i="4" s="1"/>
  <c r="AK81" i="4"/>
  <c r="BG81" i="4" s="1"/>
  <c r="AI81" i="4"/>
  <c r="BE81" i="4" s="1"/>
  <c r="AX81" i="4"/>
  <c r="BT81" i="4" s="1"/>
  <c r="AE81" i="4"/>
  <c r="BA81" i="4" s="1"/>
  <c r="AU81" i="4"/>
  <c r="BQ81" i="4" s="1"/>
  <c r="AC81" i="4"/>
  <c r="AY81" i="4" s="1"/>
  <c r="AR81" i="4"/>
  <c r="BN81" i="4" s="1"/>
  <c r="AO81" i="4"/>
  <c r="BK81" i="4" s="1"/>
  <c r="AT81" i="4"/>
  <c r="BP81" i="4" s="1"/>
  <c r="AL81" i="4"/>
  <c r="BH81" i="4" s="1"/>
  <c r="AU37" i="4"/>
  <c r="BQ37" i="4" s="1"/>
  <c r="AM37" i="4"/>
  <c r="BI37" i="4" s="1"/>
  <c r="AE37" i="4"/>
  <c r="BA37" i="4" s="1"/>
  <c r="AS37" i="4"/>
  <c r="BO37" i="4" s="1"/>
  <c r="AJ37" i="4"/>
  <c r="BF37" i="4" s="1"/>
  <c r="AR37" i="4"/>
  <c r="BN37" i="4" s="1"/>
  <c r="AI37" i="4"/>
  <c r="BE37" i="4" s="1"/>
  <c r="AQ37" i="4"/>
  <c r="BM37" i="4" s="1"/>
  <c r="AH37" i="4"/>
  <c r="BD37" i="4" s="1"/>
  <c r="AP37" i="4"/>
  <c r="BL37" i="4" s="1"/>
  <c r="AG37" i="4"/>
  <c r="BC37" i="4" s="1"/>
  <c r="AW37" i="4"/>
  <c r="BS37" i="4" s="1"/>
  <c r="AN37" i="4"/>
  <c r="BJ37" i="4" s="1"/>
  <c r="AD37" i="4"/>
  <c r="AZ37" i="4" s="1"/>
  <c r="AC37" i="4"/>
  <c r="AY37" i="4" s="1"/>
  <c r="AV37" i="4"/>
  <c r="BR37" i="4" s="1"/>
  <c r="AL37" i="4"/>
  <c r="BH37" i="4" s="1"/>
  <c r="AK37" i="4"/>
  <c r="BG37" i="4" s="1"/>
  <c r="AF37" i="4"/>
  <c r="BB37" i="4" s="1"/>
  <c r="AX37" i="4"/>
  <c r="BT37" i="4" s="1"/>
  <c r="AT37" i="4"/>
  <c r="BP37" i="4" s="1"/>
  <c r="AO37" i="4"/>
  <c r="BK37" i="4" s="1"/>
  <c r="AW101" i="4"/>
  <c r="BS101" i="4" s="1"/>
  <c r="AO101" i="4"/>
  <c r="BK101" i="4" s="1"/>
  <c r="AG101" i="4"/>
  <c r="BC101" i="4" s="1"/>
  <c r="AX101" i="4"/>
  <c r="BT101" i="4" s="1"/>
  <c r="AN101" i="4"/>
  <c r="BJ101" i="4" s="1"/>
  <c r="AE101" i="4"/>
  <c r="BA101" i="4" s="1"/>
  <c r="AQ101" i="4"/>
  <c r="BM101" i="4" s="1"/>
  <c r="AF101" i="4"/>
  <c r="BB101" i="4" s="1"/>
  <c r="AP101" i="4"/>
  <c r="BL101" i="4" s="1"/>
  <c r="AD101" i="4"/>
  <c r="AZ101" i="4" s="1"/>
  <c r="AM101" i="4"/>
  <c r="BI101" i="4" s="1"/>
  <c r="AC101" i="4"/>
  <c r="AY101" i="4" s="1"/>
  <c r="AV101" i="4"/>
  <c r="BR101" i="4" s="1"/>
  <c r="AL101" i="4"/>
  <c r="BH101" i="4" s="1"/>
  <c r="AT101" i="4"/>
  <c r="BP101" i="4" s="1"/>
  <c r="AJ101" i="4"/>
  <c r="BF101" i="4" s="1"/>
  <c r="AU101" i="4"/>
  <c r="BQ101" i="4" s="1"/>
  <c r="AS101" i="4"/>
  <c r="BO101" i="4" s="1"/>
  <c r="AR101" i="4"/>
  <c r="BN101" i="4" s="1"/>
  <c r="AK101" i="4"/>
  <c r="BG101" i="4" s="1"/>
  <c r="AH101" i="4"/>
  <c r="BD101" i="4" s="1"/>
  <c r="AI101" i="4"/>
  <c r="BE101" i="4" s="1"/>
  <c r="AR149" i="4"/>
  <c r="AJ149" i="4"/>
  <c r="AQ149" i="4"/>
  <c r="AI149" i="4"/>
  <c r="AX149" i="4"/>
  <c r="AP149" i="4"/>
  <c r="AH149" i="4"/>
  <c r="AW149" i="4"/>
  <c r="AO149" i="4"/>
  <c r="AG149" i="4"/>
  <c r="AU149" i="4"/>
  <c r="AM149" i="4"/>
  <c r="AE149" i="4"/>
  <c r="AK149" i="4"/>
  <c r="AD149" i="4"/>
  <c r="AV149" i="4"/>
  <c r="AC149" i="4"/>
  <c r="AS149" i="4"/>
  <c r="AT149" i="4"/>
  <c r="AN149" i="4"/>
  <c r="AL149" i="4"/>
  <c r="AF149" i="4"/>
  <c r="BP149" i="4"/>
  <c r="BH149" i="4"/>
  <c r="AZ149" i="4"/>
  <c r="BO149" i="4"/>
  <c r="BF149" i="4"/>
  <c r="BS149" i="4"/>
  <c r="BI149" i="4"/>
  <c r="BR149" i="4"/>
  <c r="BG149" i="4"/>
  <c r="BQ149" i="4"/>
  <c r="BE149" i="4"/>
  <c r="BN149" i="4"/>
  <c r="BD149" i="4"/>
  <c r="BK149" i="4"/>
  <c r="BJ149" i="4"/>
  <c r="BC149" i="4"/>
  <c r="BT149" i="4"/>
  <c r="BB149" i="4"/>
  <c r="BA149" i="4"/>
  <c r="AY149" i="4"/>
  <c r="BM149" i="4"/>
  <c r="BL149" i="4"/>
  <c r="AS24" i="4"/>
  <c r="BO24" i="4" s="1"/>
  <c r="AK24" i="4"/>
  <c r="BG24" i="4" s="1"/>
  <c r="AC24" i="4"/>
  <c r="AY24" i="4" s="1"/>
  <c r="AV24" i="4"/>
  <c r="BR24" i="4" s="1"/>
  <c r="AM24" i="4"/>
  <c r="BI24" i="4" s="1"/>
  <c r="AD24" i="4"/>
  <c r="AZ24" i="4" s="1"/>
  <c r="AU24" i="4"/>
  <c r="BQ24" i="4" s="1"/>
  <c r="AL24" i="4"/>
  <c r="BH24" i="4" s="1"/>
  <c r="AT24" i="4"/>
  <c r="BP24" i="4" s="1"/>
  <c r="AJ24" i="4"/>
  <c r="AR24" i="4"/>
  <c r="BN24" i="4" s="1"/>
  <c r="AI24" i="4"/>
  <c r="BE24" i="4" s="1"/>
  <c r="AP24" i="4"/>
  <c r="BL24" i="4" s="1"/>
  <c r="AG24" i="4"/>
  <c r="BC24" i="4" s="1"/>
  <c r="AW24" i="4"/>
  <c r="BS24" i="4" s="1"/>
  <c r="AO24" i="4"/>
  <c r="BK24" i="4" s="1"/>
  <c r="AF24" i="4"/>
  <c r="BB24" i="4" s="1"/>
  <c r="AE24" i="4"/>
  <c r="AX24" i="4"/>
  <c r="BT24" i="4" s="1"/>
  <c r="AQ24" i="4"/>
  <c r="BM24" i="4" s="1"/>
  <c r="AN24" i="4"/>
  <c r="BJ24" i="4" s="1"/>
  <c r="AH24" i="4"/>
  <c r="BD24" i="4" s="1"/>
  <c r="AS40" i="4"/>
  <c r="BO40" i="4" s="1"/>
  <c r="AK40" i="4"/>
  <c r="BG40" i="4" s="1"/>
  <c r="AC40" i="4"/>
  <c r="AY40" i="4" s="1"/>
  <c r="AQ40" i="4"/>
  <c r="BM40" i="4" s="1"/>
  <c r="AH40" i="4"/>
  <c r="BD40" i="4" s="1"/>
  <c r="AP40" i="4"/>
  <c r="BL40" i="4" s="1"/>
  <c r="AG40" i="4"/>
  <c r="BC40" i="4" s="1"/>
  <c r="AX40" i="4"/>
  <c r="BT40" i="4" s="1"/>
  <c r="AO40" i="4"/>
  <c r="BK40" i="4" s="1"/>
  <c r="AF40" i="4"/>
  <c r="BB40" i="4" s="1"/>
  <c r="AW40" i="4"/>
  <c r="BS40" i="4" s="1"/>
  <c r="AN40" i="4"/>
  <c r="BJ40" i="4" s="1"/>
  <c r="AE40" i="4"/>
  <c r="BA40" i="4" s="1"/>
  <c r="AU40" i="4"/>
  <c r="BQ40" i="4" s="1"/>
  <c r="AL40" i="4"/>
  <c r="BH40" i="4" s="1"/>
  <c r="AJ40" i="4"/>
  <c r="BF40" i="4" s="1"/>
  <c r="AD40" i="4"/>
  <c r="AZ40" i="4" s="1"/>
  <c r="AM40" i="4"/>
  <c r="BI40" i="4" s="1"/>
  <c r="AI40" i="4"/>
  <c r="BE40" i="4" s="1"/>
  <c r="AV40" i="4"/>
  <c r="BR40" i="4" s="1"/>
  <c r="AT40" i="4"/>
  <c r="BP40" i="4" s="1"/>
  <c r="AR40" i="4"/>
  <c r="BN40" i="4" s="1"/>
  <c r="AT56" i="4"/>
  <c r="BP56" i="4" s="1"/>
  <c r="AL56" i="4"/>
  <c r="BH56" i="4" s="1"/>
  <c r="AD56" i="4"/>
  <c r="AZ56" i="4" s="1"/>
  <c r="AX56" i="4"/>
  <c r="BT56" i="4" s="1"/>
  <c r="AO56" i="4"/>
  <c r="BK56" i="4" s="1"/>
  <c r="AF56" i="4"/>
  <c r="AW56" i="4"/>
  <c r="BS56" i="4" s="1"/>
  <c r="AM56" i="4"/>
  <c r="BI56" i="4" s="1"/>
  <c r="AV56" i="4"/>
  <c r="BR56" i="4" s="1"/>
  <c r="AK56" i="4"/>
  <c r="BG56" i="4" s="1"/>
  <c r="AU56" i="4"/>
  <c r="BQ56" i="4" s="1"/>
  <c r="AJ56" i="4"/>
  <c r="BF56" i="4" s="1"/>
  <c r="AS56" i="4"/>
  <c r="BO56" i="4" s="1"/>
  <c r="AI56" i="4"/>
  <c r="BE56" i="4" s="1"/>
  <c r="AQ56" i="4"/>
  <c r="BM56" i="4" s="1"/>
  <c r="AG56" i="4"/>
  <c r="BC56" i="4" s="1"/>
  <c r="AP56" i="4"/>
  <c r="BL56" i="4" s="1"/>
  <c r="AE56" i="4"/>
  <c r="BA56" i="4" s="1"/>
  <c r="AN56" i="4"/>
  <c r="BJ56" i="4" s="1"/>
  <c r="AH56" i="4"/>
  <c r="BD56" i="4" s="1"/>
  <c r="AR56" i="4"/>
  <c r="BN56" i="4" s="1"/>
  <c r="AC56" i="4"/>
  <c r="AT72" i="4"/>
  <c r="BP72" i="4" s="1"/>
  <c r="AL72" i="4"/>
  <c r="BH72" i="4" s="1"/>
  <c r="AD72" i="4"/>
  <c r="AZ72" i="4" s="1"/>
  <c r="AP72" i="4"/>
  <c r="BL72" i="4" s="1"/>
  <c r="AG72" i="4"/>
  <c r="BC72" i="4" s="1"/>
  <c r="AW72" i="4"/>
  <c r="BS72" i="4" s="1"/>
  <c r="AN72" i="4"/>
  <c r="BJ72" i="4" s="1"/>
  <c r="AE72" i="4"/>
  <c r="BA72" i="4" s="1"/>
  <c r="AV72" i="4"/>
  <c r="BR72" i="4" s="1"/>
  <c r="AS72" i="4"/>
  <c r="BO72" i="4" s="1"/>
  <c r="AJ72" i="4"/>
  <c r="BF72" i="4" s="1"/>
  <c r="AI72" i="4"/>
  <c r="BE72" i="4" s="1"/>
  <c r="AX72" i="4"/>
  <c r="BT72" i="4" s="1"/>
  <c r="AH72" i="4"/>
  <c r="BD72" i="4" s="1"/>
  <c r="AU72" i="4"/>
  <c r="BQ72" i="4" s="1"/>
  <c r="AF72" i="4"/>
  <c r="BB72" i="4" s="1"/>
  <c r="AR72" i="4"/>
  <c r="BN72" i="4" s="1"/>
  <c r="AC72" i="4"/>
  <c r="AY72" i="4" s="1"/>
  <c r="AO72" i="4"/>
  <c r="BK72" i="4" s="1"/>
  <c r="AM72" i="4"/>
  <c r="BI72" i="4" s="1"/>
  <c r="AQ72" i="4"/>
  <c r="BM72" i="4" s="1"/>
  <c r="AK72" i="4"/>
  <c r="BG72" i="4" s="1"/>
  <c r="AX152" i="4"/>
  <c r="AP152" i="4"/>
  <c r="AH152" i="4"/>
  <c r="AW152" i="4"/>
  <c r="AO152" i="4"/>
  <c r="AG152" i="4"/>
  <c r="AV152" i="4"/>
  <c r="AN152" i="4"/>
  <c r="AF152" i="4"/>
  <c r="AU152" i="4"/>
  <c r="AM152" i="4"/>
  <c r="AE152" i="4"/>
  <c r="AS152" i="4"/>
  <c r="AK152" i="4"/>
  <c r="AC152" i="4"/>
  <c r="AI152" i="4"/>
  <c r="AT152" i="4"/>
  <c r="AQ152" i="4"/>
  <c r="AD152" i="4"/>
  <c r="AR152" i="4"/>
  <c r="AL152" i="4"/>
  <c r="AJ152" i="4"/>
  <c r="BN152" i="4"/>
  <c r="BF152" i="4"/>
  <c r="BM152" i="4"/>
  <c r="BD152" i="4"/>
  <c r="BP152" i="4"/>
  <c r="BE152" i="4"/>
  <c r="BO152" i="4"/>
  <c r="BC152" i="4"/>
  <c r="BL152" i="4"/>
  <c r="BB152" i="4"/>
  <c r="BK152" i="4"/>
  <c r="BA152" i="4"/>
  <c r="BH152" i="4"/>
  <c r="BG152" i="4"/>
  <c r="BT152" i="4"/>
  <c r="AZ152" i="4"/>
  <c r="BS152" i="4"/>
  <c r="AY152" i="4"/>
  <c r="BR152" i="4"/>
  <c r="BQ152" i="4"/>
  <c r="BJ152" i="4"/>
  <c r="BI152" i="4"/>
  <c r="AX94" i="4"/>
  <c r="BT94" i="4" s="1"/>
  <c r="AP94" i="4"/>
  <c r="BL94" i="4" s="1"/>
  <c r="AH94" i="4"/>
  <c r="BD94" i="4" s="1"/>
  <c r="AQ94" i="4"/>
  <c r="BM94" i="4" s="1"/>
  <c r="AG94" i="4"/>
  <c r="BC94" i="4" s="1"/>
  <c r="AO94" i="4"/>
  <c r="BK94" i="4" s="1"/>
  <c r="AF94" i="4"/>
  <c r="BB94" i="4" s="1"/>
  <c r="AW94" i="4"/>
  <c r="BS94" i="4" s="1"/>
  <c r="AN94" i="4"/>
  <c r="BJ94" i="4" s="1"/>
  <c r="AE94" i="4"/>
  <c r="AV94" i="4"/>
  <c r="BR94" i="4" s="1"/>
  <c r="AM94" i="4"/>
  <c r="BI94" i="4" s="1"/>
  <c r="AD94" i="4"/>
  <c r="AZ94" i="4" s="1"/>
  <c r="AT94" i="4"/>
  <c r="BP94" i="4" s="1"/>
  <c r="AK94" i="4"/>
  <c r="BG94" i="4" s="1"/>
  <c r="AL94" i="4"/>
  <c r="BH94" i="4" s="1"/>
  <c r="AJ94" i="4"/>
  <c r="BF94" i="4" s="1"/>
  <c r="AI94" i="4"/>
  <c r="BE94" i="4" s="1"/>
  <c r="AC94" i="4"/>
  <c r="AY94" i="4" s="1"/>
  <c r="AU94" i="4"/>
  <c r="BQ94" i="4" s="1"/>
  <c r="AS94" i="4"/>
  <c r="BO94" i="4" s="1"/>
  <c r="AR94" i="4"/>
  <c r="BN94" i="4" s="1"/>
  <c r="AW97" i="4"/>
  <c r="BS97" i="4" s="1"/>
  <c r="AO97" i="4"/>
  <c r="BK97" i="4" s="1"/>
  <c r="AG97" i="4"/>
  <c r="BC97" i="4" s="1"/>
  <c r="AT97" i="4"/>
  <c r="BP97" i="4" s="1"/>
  <c r="AK97" i="4"/>
  <c r="BG97" i="4" s="1"/>
  <c r="AU97" i="4"/>
  <c r="BQ97" i="4" s="1"/>
  <c r="AJ97" i="4"/>
  <c r="BF97" i="4" s="1"/>
  <c r="AS97" i="4"/>
  <c r="AI97" i="4"/>
  <c r="BE97" i="4" s="1"/>
  <c r="AR97" i="4"/>
  <c r="BN97" i="4" s="1"/>
  <c r="AH97" i="4"/>
  <c r="BD97" i="4" s="1"/>
  <c r="AQ97" i="4"/>
  <c r="BM97" i="4" s="1"/>
  <c r="AF97" i="4"/>
  <c r="BB97" i="4" s="1"/>
  <c r="AN97" i="4"/>
  <c r="BJ97" i="4" s="1"/>
  <c r="AD97" i="4"/>
  <c r="AZ97" i="4" s="1"/>
  <c r="AX97" i="4"/>
  <c r="BT97" i="4" s="1"/>
  <c r="AV97" i="4"/>
  <c r="BR97" i="4" s="1"/>
  <c r="AP97" i="4"/>
  <c r="BL97" i="4" s="1"/>
  <c r="AL97" i="4"/>
  <c r="BH97" i="4" s="1"/>
  <c r="AE97" i="4"/>
  <c r="BA97" i="4" s="1"/>
  <c r="AM97" i="4"/>
  <c r="BI97" i="4" s="1"/>
  <c r="AC97" i="4"/>
  <c r="AY97" i="4" s="1"/>
  <c r="AS28" i="4"/>
  <c r="BO28" i="4" s="1"/>
  <c r="AK28" i="4"/>
  <c r="BG28" i="4" s="1"/>
  <c r="AC28" i="4"/>
  <c r="AY28" i="4" s="1"/>
  <c r="AP28" i="4"/>
  <c r="BL28" i="4" s="1"/>
  <c r="AG28" i="4"/>
  <c r="BC28" i="4" s="1"/>
  <c r="AX28" i="4"/>
  <c r="BT28" i="4" s="1"/>
  <c r="AO28" i="4"/>
  <c r="BK28" i="4" s="1"/>
  <c r="AF28" i="4"/>
  <c r="BB28" i="4" s="1"/>
  <c r="AW28" i="4"/>
  <c r="BS28" i="4" s="1"/>
  <c r="AN28" i="4"/>
  <c r="BJ28" i="4" s="1"/>
  <c r="AE28" i="4"/>
  <c r="BA28" i="4" s="1"/>
  <c r="AV28" i="4"/>
  <c r="BR28" i="4" s="1"/>
  <c r="AM28" i="4"/>
  <c r="BI28" i="4" s="1"/>
  <c r="AD28" i="4"/>
  <c r="AZ28" i="4" s="1"/>
  <c r="AT28" i="4"/>
  <c r="BP28" i="4" s="1"/>
  <c r="AJ28" i="4"/>
  <c r="BF28" i="4" s="1"/>
  <c r="AH28" i="4"/>
  <c r="BD28" i="4" s="1"/>
  <c r="AQ28" i="4"/>
  <c r="BM28" i="4" s="1"/>
  <c r="AL28" i="4"/>
  <c r="BH28" i="4" s="1"/>
  <c r="AI28" i="4"/>
  <c r="BE28" i="4" s="1"/>
  <c r="AU28" i="4"/>
  <c r="BQ28" i="4" s="1"/>
  <c r="AR28" i="4"/>
  <c r="BN28" i="4" s="1"/>
  <c r="AX156" i="4"/>
  <c r="AP156" i="4"/>
  <c r="AH156" i="4"/>
  <c r="AW156" i="4"/>
  <c r="AO156" i="4"/>
  <c r="AG156" i="4"/>
  <c r="AV156" i="4"/>
  <c r="AN156" i="4"/>
  <c r="AF156" i="4"/>
  <c r="AU156" i="4"/>
  <c r="AM156" i="4"/>
  <c r="AE156" i="4"/>
  <c r="AS156" i="4"/>
  <c r="AK156" i="4"/>
  <c r="AC156" i="4"/>
  <c r="AD156" i="4"/>
  <c r="AT156" i="4"/>
  <c r="AR156" i="4"/>
  <c r="AL156" i="4"/>
  <c r="AQ156" i="4"/>
  <c r="AJ156" i="4"/>
  <c r="AI156" i="4"/>
  <c r="BN156" i="4"/>
  <c r="BF156" i="4"/>
  <c r="BQ156" i="4"/>
  <c r="BH156" i="4"/>
  <c r="AY156" i="4"/>
  <c r="BK156" i="4"/>
  <c r="BA156" i="4"/>
  <c r="BT156" i="4"/>
  <c r="BJ156" i="4"/>
  <c r="AZ156" i="4"/>
  <c r="BS156" i="4"/>
  <c r="BI156" i="4"/>
  <c r="BR156" i="4"/>
  <c r="BG156" i="4"/>
  <c r="BC156" i="4"/>
  <c r="BB156" i="4"/>
  <c r="BP156" i="4"/>
  <c r="BO156" i="4"/>
  <c r="BM156" i="4"/>
  <c r="BL156" i="4"/>
  <c r="BE156" i="4"/>
  <c r="BD156" i="4"/>
  <c r="AS36" i="4"/>
  <c r="BO36" i="4" s="1"/>
  <c r="AK36" i="4"/>
  <c r="BG36" i="4" s="1"/>
  <c r="AC36" i="4"/>
  <c r="AY36" i="4" s="1"/>
  <c r="AW36" i="4"/>
  <c r="BS36" i="4" s="1"/>
  <c r="AN36" i="4"/>
  <c r="BJ36" i="4" s="1"/>
  <c r="AE36" i="4"/>
  <c r="BA36" i="4" s="1"/>
  <c r="AV36" i="4"/>
  <c r="BR36" i="4" s="1"/>
  <c r="AM36" i="4"/>
  <c r="BI36" i="4" s="1"/>
  <c r="AD36" i="4"/>
  <c r="AZ36" i="4" s="1"/>
  <c r="AU36" i="4"/>
  <c r="BQ36" i="4" s="1"/>
  <c r="AL36" i="4"/>
  <c r="BH36" i="4" s="1"/>
  <c r="AT36" i="4"/>
  <c r="BP36" i="4" s="1"/>
  <c r="AJ36" i="4"/>
  <c r="BF36" i="4" s="1"/>
  <c r="AQ36" i="4"/>
  <c r="BM36" i="4" s="1"/>
  <c r="AH36" i="4"/>
  <c r="BD36" i="4" s="1"/>
  <c r="AR36" i="4"/>
  <c r="AF36" i="4"/>
  <c r="BB36" i="4" s="1"/>
  <c r="AP36" i="4"/>
  <c r="BL36" i="4" s="1"/>
  <c r="AX36" i="4"/>
  <c r="BT36" i="4" s="1"/>
  <c r="AO36" i="4"/>
  <c r="BK36" i="4" s="1"/>
  <c r="AI36" i="4"/>
  <c r="BE36" i="4" s="1"/>
  <c r="AG36" i="4"/>
  <c r="BC36" i="4" s="1"/>
  <c r="I172" i="4"/>
  <c r="AR63" i="4"/>
  <c r="AJ63" i="4"/>
  <c r="BF63" i="4" s="1"/>
  <c r="AP63" i="4"/>
  <c r="BL63" i="4" s="1"/>
  <c r="AG63" i="4"/>
  <c r="BC63" i="4" s="1"/>
  <c r="AO63" i="4"/>
  <c r="BK63" i="4" s="1"/>
  <c r="AE63" i="4"/>
  <c r="BA63" i="4" s="1"/>
  <c r="AX63" i="4"/>
  <c r="BT63" i="4" s="1"/>
  <c r="AN63" i="4"/>
  <c r="BJ63" i="4" s="1"/>
  <c r="AD63" i="4"/>
  <c r="AZ63" i="4" s="1"/>
  <c r="AW63" i="4"/>
  <c r="BS63" i="4" s="1"/>
  <c r="AM63" i="4"/>
  <c r="BI63" i="4" s="1"/>
  <c r="AC63" i="4"/>
  <c r="AY63" i="4" s="1"/>
  <c r="AV63" i="4"/>
  <c r="BR63" i="4" s="1"/>
  <c r="AL63" i="4"/>
  <c r="BH63" i="4" s="1"/>
  <c r="AT63" i="4"/>
  <c r="BP63" i="4" s="1"/>
  <c r="AI63" i="4"/>
  <c r="BE63" i="4" s="1"/>
  <c r="AS63" i="4"/>
  <c r="BO63" i="4" s="1"/>
  <c r="AH63" i="4"/>
  <c r="BD63" i="4" s="1"/>
  <c r="AU63" i="4"/>
  <c r="BQ63" i="4" s="1"/>
  <c r="AQ63" i="4"/>
  <c r="BM63" i="4" s="1"/>
  <c r="AK63" i="4"/>
  <c r="BG63" i="4" s="1"/>
  <c r="AF63" i="4"/>
  <c r="BB63" i="4" s="1"/>
  <c r="AV159" i="4"/>
  <c r="AN159" i="4"/>
  <c r="AF159" i="4"/>
  <c r="AU159" i="4"/>
  <c r="AM159" i="4"/>
  <c r="AE159" i="4"/>
  <c r="AT159" i="4"/>
  <c r="AL159" i="4"/>
  <c r="AD159" i="4"/>
  <c r="AS159" i="4"/>
  <c r="AK159" i="4"/>
  <c r="AC159" i="4"/>
  <c r="AQ159" i="4"/>
  <c r="AI159" i="4"/>
  <c r="AR159" i="4"/>
  <c r="AP159" i="4"/>
  <c r="AO159" i="4"/>
  <c r="AJ159" i="4"/>
  <c r="AH159" i="4"/>
  <c r="AG159" i="4"/>
  <c r="AX159" i="4"/>
  <c r="AW159" i="4"/>
  <c r="BT159" i="4"/>
  <c r="BL159" i="4"/>
  <c r="BD159" i="4"/>
  <c r="BM159" i="4"/>
  <c r="BC159" i="4"/>
  <c r="BN159" i="4"/>
  <c r="BB159" i="4"/>
  <c r="BK159" i="4"/>
  <c r="BA159" i="4"/>
  <c r="BJ159" i="4"/>
  <c r="AZ159" i="4"/>
  <c r="BS159" i="4"/>
  <c r="BI159" i="4"/>
  <c r="AY159" i="4"/>
  <c r="BP159" i="4"/>
  <c r="BO159" i="4"/>
  <c r="BH159" i="4"/>
  <c r="BE159" i="4"/>
  <c r="BG159" i="4"/>
  <c r="BF159" i="4"/>
  <c r="BR159" i="4"/>
  <c r="BQ159" i="4"/>
  <c r="AX58" i="4"/>
  <c r="BT58" i="4" s="1"/>
  <c r="AP58" i="4"/>
  <c r="BL58" i="4" s="1"/>
  <c r="AH58" i="4"/>
  <c r="BD58" i="4" s="1"/>
  <c r="AQ58" i="4"/>
  <c r="BM58" i="4" s="1"/>
  <c r="AG58" i="4"/>
  <c r="BC58" i="4" s="1"/>
  <c r="AU58" i="4"/>
  <c r="BQ58" i="4" s="1"/>
  <c r="AK58" i="4"/>
  <c r="BG58" i="4" s="1"/>
  <c r="AT58" i="4"/>
  <c r="BP58" i="4" s="1"/>
  <c r="AJ58" i="4"/>
  <c r="BF58" i="4" s="1"/>
  <c r="AS58" i="4"/>
  <c r="BO58" i="4" s="1"/>
  <c r="AI58" i="4"/>
  <c r="BE58" i="4" s="1"/>
  <c r="AR58" i="4"/>
  <c r="BN58" i="4" s="1"/>
  <c r="AF58" i="4"/>
  <c r="BB58" i="4" s="1"/>
  <c r="AN58" i="4"/>
  <c r="BJ58" i="4" s="1"/>
  <c r="AD58" i="4"/>
  <c r="AZ58" i="4" s="1"/>
  <c r="AW58" i="4"/>
  <c r="BS58" i="4" s="1"/>
  <c r="AM58" i="4"/>
  <c r="BI58" i="4" s="1"/>
  <c r="AO58" i="4"/>
  <c r="BK58" i="4" s="1"/>
  <c r="AE58" i="4"/>
  <c r="BA58" i="4" s="1"/>
  <c r="AV58" i="4"/>
  <c r="BR58" i="4" s="1"/>
  <c r="AL58" i="4"/>
  <c r="BH58" i="4" s="1"/>
  <c r="AC58" i="4"/>
  <c r="AY58" i="4" s="1"/>
  <c r="AX74" i="4"/>
  <c r="BT74" i="4" s="1"/>
  <c r="AP74" i="4"/>
  <c r="BL74" i="4" s="1"/>
  <c r="AH74" i="4"/>
  <c r="BD74" i="4" s="1"/>
  <c r="AR74" i="4"/>
  <c r="BN74" i="4" s="1"/>
  <c r="AI74" i="4"/>
  <c r="BE74" i="4" s="1"/>
  <c r="AO74" i="4"/>
  <c r="BK74" i="4" s="1"/>
  <c r="AF74" i="4"/>
  <c r="BB74" i="4" s="1"/>
  <c r="AW74" i="4"/>
  <c r="BS74" i="4" s="1"/>
  <c r="AN74" i="4"/>
  <c r="BJ74" i="4" s="1"/>
  <c r="AE74" i="4"/>
  <c r="BA74" i="4" s="1"/>
  <c r="AU74" i="4"/>
  <c r="BQ74" i="4" s="1"/>
  <c r="AL74" i="4"/>
  <c r="BH74" i="4" s="1"/>
  <c r="AC74" i="4"/>
  <c r="AY74" i="4" s="1"/>
  <c r="AS74" i="4"/>
  <c r="BO74" i="4" s="1"/>
  <c r="AQ74" i="4"/>
  <c r="BM74" i="4" s="1"/>
  <c r="AM74" i="4"/>
  <c r="BI74" i="4" s="1"/>
  <c r="AK74" i="4"/>
  <c r="BG74" i="4" s="1"/>
  <c r="AG74" i="4"/>
  <c r="BC74" i="4" s="1"/>
  <c r="AV74" i="4"/>
  <c r="AD74" i="4"/>
  <c r="AZ74" i="4" s="1"/>
  <c r="AT74" i="4"/>
  <c r="BP74" i="4" s="1"/>
  <c r="AJ74" i="4"/>
  <c r="BF74" i="4" s="1"/>
  <c r="AV138" i="4"/>
  <c r="AN138" i="4"/>
  <c r="AF138" i="4"/>
  <c r="AQ138" i="4"/>
  <c r="AI138" i="4"/>
  <c r="AS138" i="4"/>
  <c r="AH138" i="4"/>
  <c r="AR138" i="4"/>
  <c r="AG138" i="4"/>
  <c r="AP138" i="4"/>
  <c r="AE138" i="4"/>
  <c r="AO138" i="4"/>
  <c r="AD138" i="4"/>
  <c r="AX138" i="4"/>
  <c r="AM138" i="4"/>
  <c r="AC138" i="4"/>
  <c r="AW138" i="4"/>
  <c r="AL138" i="4"/>
  <c r="AU138" i="4"/>
  <c r="AT138" i="4"/>
  <c r="AK138" i="4"/>
  <c r="AJ138" i="4"/>
  <c r="BR138" i="4"/>
  <c r="BJ138" i="4"/>
  <c r="BB138" i="4"/>
  <c r="BT138" i="4"/>
  <c r="BK138" i="4"/>
  <c r="BA138" i="4"/>
  <c r="BI138" i="4"/>
  <c r="AY138" i="4"/>
  <c r="BS138" i="4"/>
  <c r="BH138" i="4"/>
  <c r="BQ138" i="4"/>
  <c r="BG138" i="4"/>
  <c r="BP138" i="4"/>
  <c r="BF138" i="4"/>
  <c r="AZ138" i="4"/>
  <c r="BO138" i="4"/>
  <c r="BN138" i="4"/>
  <c r="BM138" i="4"/>
  <c r="BL138" i="4"/>
  <c r="BE138" i="4"/>
  <c r="BD138" i="4"/>
  <c r="BC138" i="4"/>
  <c r="AS123" i="4"/>
  <c r="BO123" i="4" s="1"/>
  <c r="AK123" i="4"/>
  <c r="BG123" i="4" s="1"/>
  <c r="AC123" i="4"/>
  <c r="AY123" i="4" s="1"/>
  <c r="AU123" i="4"/>
  <c r="BQ123" i="4" s="1"/>
  <c r="AL123" i="4"/>
  <c r="BH123" i="4" s="1"/>
  <c r="AR123" i="4"/>
  <c r="BN123" i="4" s="1"/>
  <c r="AI123" i="4"/>
  <c r="BE123" i="4" s="1"/>
  <c r="AQ123" i="4"/>
  <c r="BM123" i="4" s="1"/>
  <c r="AH123" i="4"/>
  <c r="BD123" i="4" s="1"/>
  <c r="AP123" i="4"/>
  <c r="BL123" i="4" s="1"/>
  <c r="AG123" i="4"/>
  <c r="BC123" i="4" s="1"/>
  <c r="AX123" i="4"/>
  <c r="BT123" i="4" s="1"/>
  <c r="AO123" i="4"/>
  <c r="BK123" i="4" s="1"/>
  <c r="AF123" i="4"/>
  <c r="BB123" i="4" s="1"/>
  <c r="AN123" i="4"/>
  <c r="BJ123" i="4" s="1"/>
  <c r="AM123" i="4"/>
  <c r="BI123" i="4" s="1"/>
  <c r="AJ123" i="4"/>
  <c r="BF123" i="4" s="1"/>
  <c r="AE123" i="4"/>
  <c r="BA123" i="4" s="1"/>
  <c r="AW123" i="4"/>
  <c r="BS123" i="4" s="1"/>
  <c r="AT123" i="4"/>
  <c r="BP123" i="4" s="1"/>
  <c r="AD123" i="4"/>
  <c r="AZ123" i="4" s="1"/>
  <c r="AV123" i="4"/>
  <c r="BR123" i="4" s="1"/>
  <c r="AU108" i="4"/>
  <c r="BQ108" i="4" s="1"/>
  <c r="AM108" i="4"/>
  <c r="BI108" i="4" s="1"/>
  <c r="AE108" i="4"/>
  <c r="BA108" i="4" s="1"/>
  <c r="AV108" i="4"/>
  <c r="BR108" i="4" s="1"/>
  <c r="AL108" i="4"/>
  <c r="BH108" i="4" s="1"/>
  <c r="AC108" i="4"/>
  <c r="AY108" i="4" s="1"/>
  <c r="AS108" i="4"/>
  <c r="BO108" i="4" s="1"/>
  <c r="AJ108" i="4"/>
  <c r="BF108" i="4" s="1"/>
  <c r="AP108" i="4"/>
  <c r="BL108" i="4" s="1"/>
  <c r="AG108" i="4"/>
  <c r="BC108" i="4" s="1"/>
  <c r="AW108" i="4"/>
  <c r="BS108" i="4" s="1"/>
  <c r="AH108" i="4"/>
  <c r="BD108" i="4" s="1"/>
  <c r="AT108" i="4"/>
  <c r="BP108" i="4" s="1"/>
  <c r="AF108" i="4"/>
  <c r="BB108" i="4" s="1"/>
  <c r="AR108" i="4"/>
  <c r="BN108" i="4" s="1"/>
  <c r="AD108" i="4"/>
  <c r="AZ108" i="4" s="1"/>
  <c r="AQ108" i="4"/>
  <c r="BM108" i="4" s="1"/>
  <c r="AN108" i="4"/>
  <c r="BJ108" i="4" s="1"/>
  <c r="AX108" i="4"/>
  <c r="BT108" i="4" s="1"/>
  <c r="AO108" i="4"/>
  <c r="BK108" i="4" s="1"/>
  <c r="AK108" i="4"/>
  <c r="BG108" i="4" s="1"/>
  <c r="AI108" i="4"/>
  <c r="BE108" i="4" s="1"/>
  <c r="AS131" i="4"/>
  <c r="AK131" i="4"/>
  <c r="AC131" i="4"/>
  <c r="AR131" i="4"/>
  <c r="AI131" i="4"/>
  <c r="AQ131" i="4"/>
  <c r="AH131" i="4"/>
  <c r="AP131" i="4"/>
  <c r="AG131" i="4"/>
  <c r="AX131" i="4"/>
  <c r="AO131" i="4"/>
  <c r="AF131" i="4"/>
  <c r="AW131" i="4"/>
  <c r="AN131" i="4"/>
  <c r="AE131" i="4"/>
  <c r="AV131" i="4"/>
  <c r="AM131" i="4"/>
  <c r="AD131" i="4"/>
  <c r="AU131" i="4"/>
  <c r="AT131" i="4"/>
  <c r="AL131" i="4"/>
  <c r="AJ131" i="4"/>
  <c r="BT131" i="4"/>
  <c r="BL131" i="4"/>
  <c r="BD131" i="4"/>
  <c r="BO131" i="4"/>
  <c r="BF131" i="4"/>
  <c r="BN131" i="4"/>
  <c r="BE131" i="4"/>
  <c r="BC131" i="4"/>
  <c r="BM131" i="4"/>
  <c r="BK131" i="4"/>
  <c r="BB131" i="4"/>
  <c r="BP131" i="4"/>
  <c r="BJ131" i="4"/>
  <c r="BI131" i="4"/>
  <c r="BH131" i="4"/>
  <c r="AZ131" i="4"/>
  <c r="BR131" i="4"/>
  <c r="AY131" i="4"/>
  <c r="BS131" i="4"/>
  <c r="BQ131" i="4"/>
  <c r="BG131" i="4"/>
  <c r="BA131" i="4"/>
  <c r="AW14" i="4"/>
  <c r="BS14" i="4" s="1"/>
  <c r="AO14" i="4"/>
  <c r="BK14" i="4" s="1"/>
  <c r="AG14" i="4"/>
  <c r="BC14" i="4" s="1"/>
  <c r="AQ14" i="4"/>
  <c r="BM14" i="4" s="1"/>
  <c r="AH14" i="4"/>
  <c r="BD14" i="4" s="1"/>
  <c r="AT14" i="4"/>
  <c r="BP14" i="4" s="1"/>
  <c r="AJ14" i="4"/>
  <c r="BF14" i="4" s="1"/>
  <c r="AR14" i="4"/>
  <c r="BN14" i="4" s="1"/>
  <c r="AF14" i="4"/>
  <c r="BB14" i="4" s="1"/>
  <c r="AP14" i="4"/>
  <c r="BL14" i="4" s="1"/>
  <c r="AC14" i="4"/>
  <c r="AY14" i="4" s="1"/>
  <c r="AN14" i="4"/>
  <c r="BJ14" i="4" s="1"/>
  <c r="AX14" i="4"/>
  <c r="BT14" i="4" s="1"/>
  <c r="AM14" i="4"/>
  <c r="BI14" i="4" s="1"/>
  <c r="AL14" i="4"/>
  <c r="BH14" i="4" s="1"/>
  <c r="AK14" i="4"/>
  <c r="BG14" i="4" s="1"/>
  <c r="AI14" i="4"/>
  <c r="BE14" i="4" s="1"/>
  <c r="AE14" i="4"/>
  <c r="BA14" i="4" s="1"/>
  <c r="AD14" i="4"/>
  <c r="AZ14" i="4" s="1"/>
  <c r="AV14" i="4"/>
  <c r="BR14" i="4" s="1"/>
  <c r="AU14" i="4"/>
  <c r="BQ14" i="4" s="1"/>
  <c r="AS14" i="4"/>
  <c r="BO14" i="4" s="1"/>
  <c r="AW121" i="4"/>
  <c r="AO121" i="4"/>
  <c r="BK121" i="4" s="1"/>
  <c r="AG121" i="4"/>
  <c r="AS121" i="4"/>
  <c r="BO121" i="4" s="1"/>
  <c r="AJ121" i="4"/>
  <c r="BF121" i="4" s="1"/>
  <c r="AQ121" i="4"/>
  <c r="BM121" i="4" s="1"/>
  <c r="AH121" i="4"/>
  <c r="BD121" i="4" s="1"/>
  <c r="AP121" i="4"/>
  <c r="BL121" i="4" s="1"/>
  <c r="AF121" i="4"/>
  <c r="BB121" i="4" s="1"/>
  <c r="AX121" i="4"/>
  <c r="BT121" i="4" s="1"/>
  <c r="AN121" i="4"/>
  <c r="BJ121" i="4" s="1"/>
  <c r="AE121" i="4"/>
  <c r="BA121" i="4" s="1"/>
  <c r="AV121" i="4"/>
  <c r="BR121" i="4" s="1"/>
  <c r="AM121" i="4"/>
  <c r="BI121" i="4" s="1"/>
  <c r="AD121" i="4"/>
  <c r="AZ121" i="4" s="1"/>
  <c r="AK121" i="4"/>
  <c r="BG121" i="4" s="1"/>
  <c r="AI121" i="4"/>
  <c r="AC121" i="4"/>
  <c r="AY121" i="4" s="1"/>
  <c r="AT121" i="4"/>
  <c r="BP121" i="4" s="1"/>
  <c r="AU121" i="4"/>
  <c r="BQ121" i="4" s="1"/>
  <c r="AR121" i="4"/>
  <c r="BN121" i="4" s="1"/>
  <c r="AL121" i="4"/>
  <c r="BH121" i="4" s="1"/>
  <c r="AU33" i="4"/>
  <c r="BQ33" i="4" s="1"/>
  <c r="AM33" i="4"/>
  <c r="BI33" i="4" s="1"/>
  <c r="AE33" i="4"/>
  <c r="BA33" i="4" s="1"/>
  <c r="AP33" i="4"/>
  <c r="BL33" i="4" s="1"/>
  <c r="AG33" i="4"/>
  <c r="BC33" i="4" s="1"/>
  <c r="AX33" i="4"/>
  <c r="BT33" i="4" s="1"/>
  <c r="AO33" i="4"/>
  <c r="BK33" i="4" s="1"/>
  <c r="AF33" i="4"/>
  <c r="BB33" i="4" s="1"/>
  <c r="AW33" i="4"/>
  <c r="BS33" i="4" s="1"/>
  <c r="AN33" i="4"/>
  <c r="BJ33" i="4" s="1"/>
  <c r="AD33" i="4"/>
  <c r="AV33" i="4"/>
  <c r="BR33" i="4" s="1"/>
  <c r="AL33" i="4"/>
  <c r="BH33" i="4" s="1"/>
  <c r="AC33" i="4"/>
  <c r="AY33" i="4" s="1"/>
  <c r="AS33" i="4"/>
  <c r="BO33" i="4" s="1"/>
  <c r="AJ33" i="4"/>
  <c r="BF33" i="4" s="1"/>
  <c r="AR33" i="4"/>
  <c r="BN33" i="4" s="1"/>
  <c r="AK33" i="4"/>
  <c r="BG33" i="4" s="1"/>
  <c r="AT33" i="4"/>
  <c r="AQ33" i="4"/>
  <c r="BM33" i="4" s="1"/>
  <c r="AI33" i="4"/>
  <c r="BE33" i="4" s="1"/>
  <c r="AH33" i="4"/>
  <c r="BD33" i="4" s="1"/>
  <c r="AV65" i="4"/>
  <c r="BR65" i="4" s="1"/>
  <c r="AN65" i="4"/>
  <c r="BJ65" i="4" s="1"/>
  <c r="AF65" i="4"/>
  <c r="BB65" i="4" s="1"/>
  <c r="AR65" i="4"/>
  <c r="BN65" i="4" s="1"/>
  <c r="AI65" i="4"/>
  <c r="AX65" i="4"/>
  <c r="BT65" i="4" s="1"/>
  <c r="AM65" i="4"/>
  <c r="BI65" i="4" s="1"/>
  <c r="AC65" i="4"/>
  <c r="AY65" i="4" s="1"/>
  <c r="AW65" i="4"/>
  <c r="BS65" i="4" s="1"/>
  <c r="AL65" i="4"/>
  <c r="BH65" i="4" s="1"/>
  <c r="AU65" i="4"/>
  <c r="BQ65" i="4" s="1"/>
  <c r="AK65" i="4"/>
  <c r="BG65" i="4" s="1"/>
  <c r="AT65" i="4"/>
  <c r="AJ65" i="4"/>
  <c r="BF65" i="4" s="1"/>
  <c r="AQ65" i="4"/>
  <c r="BM65" i="4" s="1"/>
  <c r="AG65" i="4"/>
  <c r="BC65" i="4" s="1"/>
  <c r="AP65" i="4"/>
  <c r="BL65" i="4" s="1"/>
  <c r="AE65" i="4"/>
  <c r="BA65" i="4" s="1"/>
  <c r="AS65" i="4"/>
  <c r="BO65" i="4" s="1"/>
  <c r="AH65" i="4"/>
  <c r="BD65" i="4" s="1"/>
  <c r="AD65" i="4"/>
  <c r="AO65" i="4"/>
  <c r="BK65" i="4" s="1"/>
  <c r="K172" i="4"/>
  <c r="AT137" i="4"/>
  <c r="AL137" i="4"/>
  <c r="AD137" i="4"/>
  <c r="AW137" i="4"/>
  <c r="AO137" i="4"/>
  <c r="AG137" i="4"/>
  <c r="AS137" i="4"/>
  <c r="AI137" i="4"/>
  <c r="AR137" i="4"/>
  <c r="AH137" i="4"/>
  <c r="AQ137" i="4"/>
  <c r="AF137" i="4"/>
  <c r="AP137" i="4"/>
  <c r="AE137" i="4"/>
  <c r="AN137" i="4"/>
  <c r="AC137" i="4"/>
  <c r="AX137" i="4"/>
  <c r="AM137" i="4"/>
  <c r="AU137" i="4"/>
  <c r="AV137" i="4"/>
  <c r="AK137" i="4"/>
  <c r="AJ137" i="4"/>
  <c r="BP137" i="4"/>
  <c r="BH137" i="4"/>
  <c r="AZ137" i="4"/>
  <c r="BN137" i="4"/>
  <c r="BE137" i="4"/>
  <c r="BK137" i="4"/>
  <c r="BA137" i="4"/>
  <c r="BT137" i="4"/>
  <c r="AY137" i="4"/>
  <c r="BJ137" i="4"/>
  <c r="BS137" i="4"/>
  <c r="BI137" i="4"/>
  <c r="BR137" i="4"/>
  <c r="BG137" i="4"/>
  <c r="BB137" i="4"/>
  <c r="BQ137" i="4"/>
  <c r="BL137" i="4"/>
  <c r="BO137" i="4"/>
  <c r="BM137" i="4"/>
  <c r="BF137" i="4"/>
  <c r="BD137" i="4"/>
  <c r="BC137" i="4"/>
  <c r="AU45" i="4"/>
  <c r="BQ45" i="4" s="1"/>
  <c r="AM45" i="4"/>
  <c r="BI45" i="4" s="1"/>
  <c r="AE45" i="4"/>
  <c r="BA45" i="4" s="1"/>
  <c r="AQ45" i="4"/>
  <c r="BM45" i="4" s="1"/>
  <c r="AH45" i="4"/>
  <c r="BD45" i="4" s="1"/>
  <c r="AP45" i="4"/>
  <c r="BL45" i="4" s="1"/>
  <c r="AG45" i="4"/>
  <c r="BC45" i="4" s="1"/>
  <c r="AX45" i="4"/>
  <c r="BT45" i="4" s="1"/>
  <c r="AO45" i="4"/>
  <c r="BK45" i="4" s="1"/>
  <c r="AF45" i="4"/>
  <c r="AW45" i="4"/>
  <c r="BS45" i="4" s="1"/>
  <c r="AN45" i="4"/>
  <c r="BJ45" i="4" s="1"/>
  <c r="AD45" i="4"/>
  <c r="AZ45" i="4" s="1"/>
  <c r="AT45" i="4"/>
  <c r="BP45" i="4" s="1"/>
  <c r="AK45" i="4"/>
  <c r="BG45" i="4" s="1"/>
  <c r="AV45" i="4"/>
  <c r="BR45" i="4" s="1"/>
  <c r="AR45" i="4"/>
  <c r="BN45" i="4" s="1"/>
  <c r="AL45" i="4"/>
  <c r="AS45" i="4"/>
  <c r="BO45" i="4" s="1"/>
  <c r="AJ45" i="4"/>
  <c r="BF45" i="4" s="1"/>
  <c r="AI45" i="4"/>
  <c r="BE45" i="4" s="1"/>
  <c r="AC45" i="4"/>
  <c r="AY45" i="4" s="1"/>
  <c r="AW109" i="4"/>
  <c r="BS109" i="4" s="1"/>
  <c r="AO109" i="4"/>
  <c r="BK109" i="4" s="1"/>
  <c r="AG109" i="4"/>
  <c r="BC109" i="4" s="1"/>
  <c r="AR109" i="4"/>
  <c r="AI109" i="4"/>
  <c r="BE109" i="4" s="1"/>
  <c r="AP109" i="4"/>
  <c r="BL109" i="4" s="1"/>
  <c r="AF109" i="4"/>
  <c r="BB109" i="4" s="1"/>
  <c r="AU109" i="4"/>
  <c r="BQ109" i="4" s="1"/>
  <c r="AL109" i="4"/>
  <c r="BH109" i="4" s="1"/>
  <c r="AC109" i="4"/>
  <c r="AY109" i="4" s="1"/>
  <c r="AN109" i="4"/>
  <c r="BJ109" i="4" s="1"/>
  <c r="AM109" i="4"/>
  <c r="BI109" i="4" s="1"/>
  <c r="AK109" i="4"/>
  <c r="BG109" i="4" s="1"/>
  <c r="AX109" i="4"/>
  <c r="BT109" i="4" s="1"/>
  <c r="AJ109" i="4"/>
  <c r="BF109" i="4" s="1"/>
  <c r="AT109" i="4"/>
  <c r="BP109" i="4" s="1"/>
  <c r="AE109" i="4"/>
  <c r="BA109" i="4" s="1"/>
  <c r="AV109" i="4"/>
  <c r="BR109" i="4" s="1"/>
  <c r="AQ109" i="4"/>
  <c r="BM109" i="4" s="1"/>
  <c r="AH109" i="4"/>
  <c r="AS109" i="4"/>
  <c r="BO109" i="4" s="1"/>
  <c r="AD109" i="4"/>
  <c r="AZ109" i="4" s="1"/>
  <c r="AW125" i="4"/>
  <c r="BS125" i="4" s="1"/>
  <c r="AO125" i="4"/>
  <c r="BK125" i="4" s="1"/>
  <c r="AG125" i="4"/>
  <c r="BC125" i="4" s="1"/>
  <c r="AV125" i="4"/>
  <c r="BR125" i="4" s="1"/>
  <c r="AM125" i="4"/>
  <c r="BI125" i="4" s="1"/>
  <c r="AD125" i="4"/>
  <c r="AZ125" i="4" s="1"/>
  <c r="AT125" i="4"/>
  <c r="BP125" i="4" s="1"/>
  <c r="AK125" i="4"/>
  <c r="BG125" i="4" s="1"/>
  <c r="AS125" i="4"/>
  <c r="BO125" i="4" s="1"/>
  <c r="AJ125" i="4"/>
  <c r="BF125" i="4" s="1"/>
  <c r="AR125" i="4"/>
  <c r="BN125" i="4" s="1"/>
  <c r="AI125" i="4"/>
  <c r="BE125" i="4" s="1"/>
  <c r="AQ125" i="4"/>
  <c r="BM125" i="4" s="1"/>
  <c r="AH125" i="4"/>
  <c r="AU125" i="4"/>
  <c r="BQ125" i="4" s="1"/>
  <c r="AP125" i="4"/>
  <c r="BL125" i="4" s="1"/>
  <c r="AN125" i="4"/>
  <c r="BJ125" i="4" s="1"/>
  <c r="AL125" i="4"/>
  <c r="BH125" i="4" s="1"/>
  <c r="AE125" i="4"/>
  <c r="BA125" i="4" s="1"/>
  <c r="AF125" i="4"/>
  <c r="BB125" i="4" s="1"/>
  <c r="AC125" i="4"/>
  <c r="AY125" i="4" s="1"/>
  <c r="AX125" i="4"/>
  <c r="BT125" i="4" s="1"/>
  <c r="AR157" i="4"/>
  <c r="AU157" i="4"/>
  <c r="AS157" i="4"/>
  <c r="AK157" i="4"/>
  <c r="AE157" i="4"/>
  <c r="AC157" i="4"/>
  <c r="AM157" i="4"/>
  <c r="BA157" i="4"/>
  <c r="BQ157" i="4"/>
  <c r="AY157" i="4"/>
  <c r="BI157" i="4"/>
  <c r="BG157" i="4"/>
  <c r="BO157" i="4"/>
  <c r="AZ157" i="4"/>
  <c r="AT157" i="4"/>
  <c r="BC157" i="4"/>
  <c r="AW157" i="4"/>
  <c r="BE157" i="4"/>
  <c r="BF157" i="4"/>
  <c r="BH157" i="4"/>
  <c r="BK157" i="4"/>
  <c r="BM157" i="4"/>
  <c r="BN157" i="4"/>
  <c r="BP157" i="4"/>
  <c r="AF157" i="4"/>
  <c r="BS157" i="4"/>
  <c r="AH157" i="4"/>
  <c r="AQ157" i="4"/>
  <c r="AO157" i="4"/>
  <c r="AN157" i="4"/>
  <c r="AP157" i="4"/>
  <c r="BB157" i="4"/>
  <c r="AV157" i="4"/>
  <c r="BD157" i="4"/>
  <c r="AX157" i="4"/>
  <c r="AI157" i="4"/>
  <c r="AJ157" i="4"/>
  <c r="BJ157" i="4"/>
  <c r="BL157" i="4"/>
  <c r="AL157" i="4"/>
  <c r="AD157" i="4"/>
  <c r="BR157" i="4"/>
  <c r="AG157" i="4"/>
  <c r="BT157" i="4"/>
  <c r="AT80" i="4"/>
  <c r="BP80" i="4" s="1"/>
  <c r="AL80" i="4"/>
  <c r="BH80" i="4" s="1"/>
  <c r="AD80" i="4"/>
  <c r="AZ80" i="4" s="1"/>
  <c r="AW80" i="4"/>
  <c r="AN80" i="4"/>
  <c r="BJ80" i="4" s="1"/>
  <c r="AE80" i="4"/>
  <c r="BA80" i="4" s="1"/>
  <c r="AU80" i="4"/>
  <c r="BQ80" i="4" s="1"/>
  <c r="AK80" i="4"/>
  <c r="BG80" i="4" s="1"/>
  <c r="AS80" i="4"/>
  <c r="BO80" i="4" s="1"/>
  <c r="AJ80" i="4"/>
  <c r="BF80" i="4" s="1"/>
  <c r="AQ80" i="4"/>
  <c r="BM80" i="4" s="1"/>
  <c r="AH80" i="4"/>
  <c r="AO80" i="4"/>
  <c r="BK80" i="4" s="1"/>
  <c r="AM80" i="4"/>
  <c r="BI80" i="4" s="1"/>
  <c r="AI80" i="4"/>
  <c r="BE80" i="4" s="1"/>
  <c r="AG80" i="4"/>
  <c r="BC80" i="4" s="1"/>
  <c r="AV80" i="4"/>
  <c r="BR80" i="4" s="1"/>
  <c r="AC80" i="4"/>
  <c r="AY80" i="4" s="1"/>
  <c r="AR80" i="4"/>
  <c r="BN80" i="4" s="1"/>
  <c r="AF80" i="4"/>
  <c r="BB80" i="4" s="1"/>
  <c r="AX80" i="4"/>
  <c r="BT80" i="4" s="1"/>
  <c r="AP80" i="4"/>
  <c r="BL80" i="4" s="1"/>
  <c r="AU96" i="4"/>
  <c r="BQ96" i="4" s="1"/>
  <c r="AM96" i="4"/>
  <c r="BI96" i="4" s="1"/>
  <c r="AE96" i="4"/>
  <c r="BA96" i="4" s="1"/>
  <c r="AX96" i="4"/>
  <c r="BT96" i="4" s="1"/>
  <c r="AO96" i="4"/>
  <c r="BK96" i="4" s="1"/>
  <c r="AF96" i="4"/>
  <c r="BB96" i="4" s="1"/>
  <c r="AV96" i="4"/>
  <c r="BR96" i="4" s="1"/>
  <c r="AK96" i="4"/>
  <c r="BG96" i="4" s="1"/>
  <c r="AT96" i="4"/>
  <c r="BP96" i="4" s="1"/>
  <c r="AJ96" i="4"/>
  <c r="BF96" i="4" s="1"/>
  <c r="AS96" i="4"/>
  <c r="BO96" i="4" s="1"/>
  <c r="AI96" i="4"/>
  <c r="BE96" i="4" s="1"/>
  <c r="AR96" i="4"/>
  <c r="BN96" i="4" s="1"/>
  <c r="AH96" i="4"/>
  <c r="BD96" i="4" s="1"/>
  <c r="AP96" i="4"/>
  <c r="BL96" i="4" s="1"/>
  <c r="AD96" i="4"/>
  <c r="AZ96" i="4" s="1"/>
  <c r="AW96" i="4"/>
  <c r="BS96" i="4" s="1"/>
  <c r="AQ96" i="4"/>
  <c r="BM96" i="4" s="1"/>
  <c r="AN96" i="4"/>
  <c r="BJ96" i="4" s="1"/>
  <c r="AL96" i="4"/>
  <c r="BH96" i="4" s="1"/>
  <c r="AC96" i="4"/>
  <c r="AY96" i="4" s="1"/>
  <c r="AG96" i="4"/>
  <c r="BC96" i="4" s="1"/>
  <c r="AU112" i="4"/>
  <c r="BQ112" i="4" s="1"/>
  <c r="AM112" i="4"/>
  <c r="BI112" i="4" s="1"/>
  <c r="AE112" i="4"/>
  <c r="BA112" i="4" s="1"/>
  <c r="AP112" i="4"/>
  <c r="BL112" i="4" s="1"/>
  <c r="AG112" i="4"/>
  <c r="BC112" i="4" s="1"/>
  <c r="AW112" i="4"/>
  <c r="BS112" i="4" s="1"/>
  <c r="AN112" i="4"/>
  <c r="BJ112" i="4" s="1"/>
  <c r="AD112" i="4"/>
  <c r="AZ112" i="4" s="1"/>
  <c r="AS112" i="4"/>
  <c r="BO112" i="4" s="1"/>
  <c r="AJ112" i="4"/>
  <c r="BF112" i="4" s="1"/>
  <c r="AV112" i="4"/>
  <c r="BR112" i="4" s="1"/>
  <c r="AH112" i="4"/>
  <c r="BD112" i="4" s="1"/>
  <c r="AT112" i="4"/>
  <c r="BP112" i="4" s="1"/>
  <c r="AF112" i="4"/>
  <c r="BB112" i="4" s="1"/>
  <c r="AR112" i="4"/>
  <c r="BN112" i="4" s="1"/>
  <c r="AC112" i="4"/>
  <c r="AY112" i="4" s="1"/>
  <c r="AQ112" i="4"/>
  <c r="BM112" i="4" s="1"/>
  <c r="AL112" i="4"/>
  <c r="BH112" i="4" s="1"/>
  <c r="AK112" i="4"/>
  <c r="BG112" i="4" s="1"/>
  <c r="AI112" i="4"/>
  <c r="BE112" i="4" s="1"/>
  <c r="AX112" i="4"/>
  <c r="BT112" i="4" s="1"/>
  <c r="AO112" i="4"/>
  <c r="BK112" i="4" s="1"/>
  <c r="AX160" i="4"/>
  <c r="AP160" i="4"/>
  <c r="AH160" i="4"/>
  <c r="AW160" i="4"/>
  <c r="AO160" i="4"/>
  <c r="AG160" i="4"/>
  <c r="AV160" i="4"/>
  <c r="AN160" i="4"/>
  <c r="AF160" i="4"/>
  <c r="AU160" i="4"/>
  <c r="AM160" i="4"/>
  <c r="AE160" i="4"/>
  <c r="AS160" i="4"/>
  <c r="AK160" i="4"/>
  <c r="AC160" i="4"/>
  <c r="AR160" i="4"/>
  <c r="AT160" i="4"/>
  <c r="AQ160" i="4"/>
  <c r="AL160" i="4"/>
  <c r="AJ160" i="4"/>
  <c r="AI160" i="4"/>
  <c r="AD160" i="4"/>
  <c r="BN160" i="4"/>
  <c r="BF160" i="4"/>
  <c r="BR160" i="4"/>
  <c r="BI160" i="4"/>
  <c r="AZ160" i="4"/>
  <c r="BL160" i="4"/>
  <c r="BB160" i="4"/>
  <c r="BK160" i="4"/>
  <c r="BA160" i="4"/>
  <c r="BT160" i="4"/>
  <c r="BJ160" i="4"/>
  <c r="AY160" i="4"/>
  <c r="BS160" i="4"/>
  <c r="BH160" i="4"/>
  <c r="BO160" i="4"/>
  <c r="BM160" i="4"/>
  <c r="BG160" i="4"/>
  <c r="BE160" i="4"/>
  <c r="BD160" i="4"/>
  <c r="BC160" i="4"/>
  <c r="BQ160" i="4"/>
  <c r="BP160" i="4"/>
  <c r="AQ11" i="4"/>
  <c r="BM11" i="4" s="1"/>
  <c r="AI11" i="4"/>
  <c r="BE11" i="4" s="1"/>
  <c r="AS11" i="4"/>
  <c r="BO11" i="4" s="1"/>
  <c r="AJ11" i="4"/>
  <c r="BF11" i="4" s="1"/>
  <c r="AW11" i="4"/>
  <c r="BS11" i="4" s="1"/>
  <c r="AM11" i="4"/>
  <c r="BI11" i="4" s="1"/>
  <c r="AC11" i="4"/>
  <c r="AY11" i="4" s="1"/>
  <c r="AU11" i="4"/>
  <c r="BQ11" i="4" s="1"/>
  <c r="AK11" i="4"/>
  <c r="BG11" i="4" s="1"/>
  <c r="AN11" i="4"/>
  <c r="BJ11" i="4" s="1"/>
  <c r="AL11" i="4"/>
  <c r="BH11" i="4" s="1"/>
  <c r="AX11" i="4"/>
  <c r="BT11" i="4" s="1"/>
  <c r="AH11" i="4"/>
  <c r="BD11" i="4" s="1"/>
  <c r="AV11" i="4"/>
  <c r="BR11" i="4" s="1"/>
  <c r="AG11" i="4"/>
  <c r="BC11" i="4" s="1"/>
  <c r="AT11" i="4"/>
  <c r="BP11" i="4" s="1"/>
  <c r="AE11" i="4"/>
  <c r="BA11" i="4" s="1"/>
  <c r="AD11" i="4"/>
  <c r="AZ11" i="4" s="1"/>
  <c r="AR11" i="4"/>
  <c r="BN11" i="4" s="1"/>
  <c r="AP11" i="4"/>
  <c r="BL11" i="4" s="1"/>
  <c r="AO11" i="4"/>
  <c r="BK11" i="4" s="1"/>
  <c r="AF11" i="4"/>
  <c r="BB11" i="4" s="1"/>
  <c r="AQ110" i="4"/>
  <c r="BM110" i="4" s="1"/>
  <c r="AI110" i="4"/>
  <c r="BE110" i="4" s="1"/>
  <c r="AW110" i="4"/>
  <c r="BS110" i="4" s="1"/>
  <c r="AN110" i="4"/>
  <c r="BJ110" i="4" s="1"/>
  <c r="AE110" i="4"/>
  <c r="BA110" i="4" s="1"/>
  <c r="AU110" i="4"/>
  <c r="BQ110" i="4" s="1"/>
  <c r="AL110" i="4"/>
  <c r="BH110" i="4" s="1"/>
  <c r="AC110" i="4"/>
  <c r="AY110" i="4" s="1"/>
  <c r="AR110" i="4"/>
  <c r="BN110" i="4" s="1"/>
  <c r="AH110" i="4"/>
  <c r="BD110" i="4" s="1"/>
  <c r="AV110" i="4"/>
  <c r="BR110" i="4" s="1"/>
  <c r="AG110" i="4"/>
  <c r="BC110" i="4" s="1"/>
  <c r="AT110" i="4"/>
  <c r="BP110" i="4" s="1"/>
  <c r="AF110" i="4"/>
  <c r="BB110" i="4" s="1"/>
  <c r="AS110" i="4"/>
  <c r="BO110" i="4" s="1"/>
  <c r="AD110" i="4"/>
  <c r="AZ110" i="4" s="1"/>
  <c r="AP110" i="4"/>
  <c r="BL110" i="4" s="1"/>
  <c r="AM110" i="4"/>
  <c r="BI110" i="4" s="1"/>
  <c r="AO110" i="4"/>
  <c r="BK110" i="4" s="1"/>
  <c r="AK110" i="4"/>
  <c r="BG110" i="4" s="1"/>
  <c r="AJ110" i="4"/>
  <c r="BF110" i="4" s="1"/>
  <c r="AX110" i="4"/>
  <c r="BT110" i="4" s="1"/>
  <c r="AX172" i="4"/>
  <c r="AP172" i="4"/>
  <c r="AH172" i="4"/>
  <c r="AW172" i="4"/>
  <c r="AO172" i="4"/>
  <c r="AG172" i="4"/>
  <c r="AV172" i="4"/>
  <c r="AN172" i="4"/>
  <c r="AF172" i="4"/>
  <c r="AU172" i="4"/>
  <c r="AM172" i="4"/>
  <c r="AE172" i="4"/>
  <c r="AS172" i="4"/>
  <c r="AK172" i="4"/>
  <c r="AC172" i="4"/>
  <c r="AR172" i="4"/>
  <c r="AJ172" i="4"/>
  <c r="AT172" i="4"/>
  <c r="AQ172" i="4"/>
  <c r="AL172" i="4"/>
  <c r="AI172" i="4"/>
  <c r="AD172" i="4"/>
  <c r="BO172" i="4"/>
  <c r="BG172" i="4"/>
  <c r="AY172" i="4"/>
  <c r="BM172" i="4"/>
  <c r="BD172" i="4"/>
  <c r="BQ172" i="4"/>
  <c r="BF172" i="4"/>
  <c r="BN172" i="4"/>
  <c r="BC172" i="4"/>
  <c r="BJ172" i="4"/>
  <c r="BI172" i="4"/>
  <c r="BT172" i="4"/>
  <c r="BH172" i="4"/>
  <c r="BS172" i="4"/>
  <c r="BE172" i="4"/>
  <c r="BL172" i="4"/>
  <c r="BK172" i="4"/>
  <c r="BB172" i="4"/>
  <c r="BA172" i="4"/>
  <c r="AZ172" i="4"/>
  <c r="BR172" i="4"/>
  <c r="BP172" i="4"/>
  <c r="AS44" i="4"/>
  <c r="BO44" i="4" s="1"/>
  <c r="AK44" i="4"/>
  <c r="BG44" i="4" s="1"/>
  <c r="AC44" i="4"/>
  <c r="AY44" i="4" s="1"/>
  <c r="AU44" i="4"/>
  <c r="BQ44" i="4" s="1"/>
  <c r="AL44" i="4"/>
  <c r="BH44" i="4" s="1"/>
  <c r="AT44" i="4"/>
  <c r="AJ44" i="4"/>
  <c r="BF44" i="4" s="1"/>
  <c r="AR44" i="4"/>
  <c r="BN44" i="4" s="1"/>
  <c r="AI44" i="4"/>
  <c r="BE44" i="4" s="1"/>
  <c r="AQ44" i="4"/>
  <c r="BM44" i="4" s="1"/>
  <c r="AH44" i="4"/>
  <c r="BD44" i="4" s="1"/>
  <c r="AX44" i="4"/>
  <c r="BT44" i="4" s="1"/>
  <c r="AO44" i="4"/>
  <c r="BK44" i="4" s="1"/>
  <c r="AF44" i="4"/>
  <c r="BB44" i="4" s="1"/>
  <c r="AV44" i="4"/>
  <c r="BR44" i="4" s="1"/>
  <c r="AN44" i="4"/>
  <c r="BJ44" i="4" s="1"/>
  <c r="AW44" i="4"/>
  <c r="BS44" i="4" s="1"/>
  <c r="AE44" i="4"/>
  <c r="BA44" i="4" s="1"/>
  <c r="AP44" i="4"/>
  <c r="BL44" i="4" s="1"/>
  <c r="AM44" i="4"/>
  <c r="BI44" i="4" s="1"/>
  <c r="AG44" i="4"/>
  <c r="BC44" i="4" s="1"/>
  <c r="AD44" i="4"/>
  <c r="AU124" i="4"/>
  <c r="BQ124" i="4" s="1"/>
  <c r="AM124" i="4"/>
  <c r="BI124" i="4" s="1"/>
  <c r="AE124" i="4"/>
  <c r="BA124" i="4" s="1"/>
  <c r="AQ124" i="4"/>
  <c r="BM124" i="4" s="1"/>
  <c r="AH124" i="4"/>
  <c r="BD124" i="4" s="1"/>
  <c r="AX124" i="4"/>
  <c r="BT124" i="4" s="1"/>
  <c r="AO124" i="4"/>
  <c r="BK124" i="4" s="1"/>
  <c r="AF124" i="4"/>
  <c r="BB124" i="4" s="1"/>
  <c r="AW124" i="4"/>
  <c r="BS124" i="4" s="1"/>
  <c r="AN124" i="4"/>
  <c r="BJ124" i="4" s="1"/>
  <c r="AD124" i="4"/>
  <c r="AZ124" i="4" s="1"/>
  <c r="AV124" i="4"/>
  <c r="BR124" i="4" s="1"/>
  <c r="AL124" i="4"/>
  <c r="BH124" i="4" s="1"/>
  <c r="AC124" i="4"/>
  <c r="AY124" i="4" s="1"/>
  <c r="AT124" i="4"/>
  <c r="BP124" i="4" s="1"/>
  <c r="AK124" i="4"/>
  <c r="BG124" i="4" s="1"/>
  <c r="AR124" i="4"/>
  <c r="BN124" i="4" s="1"/>
  <c r="AP124" i="4"/>
  <c r="BL124" i="4" s="1"/>
  <c r="AJ124" i="4"/>
  <c r="BF124" i="4" s="1"/>
  <c r="AI124" i="4"/>
  <c r="BE124" i="4" s="1"/>
  <c r="AS124" i="4"/>
  <c r="BO124" i="4" s="1"/>
  <c r="AG124" i="4"/>
  <c r="BC124" i="4" s="1"/>
  <c r="M172" i="4"/>
  <c r="Z172" i="4" s="1"/>
  <c r="AR71" i="4"/>
  <c r="BN71" i="4" s="1"/>
  <c r="AJ71" i="4"/>
  <c r="BF71" i="4" s="1"/>
  <c r="AT71" i="4"/>
  <c r="BP71" i="4" s="1"/>
  <c r="AK71" i="4"/>
  <c r="BG71" i="4" s="1"/>
  <c r="AQ71" i="4"/>
  <c r="BM71" i="4" s="1"/>
  <c r="AH71" i="4"/>
  <c r="BD71" i="4" s="1"/>
  <c r="AW71" i="4"/>
  <c r="BS71" i="4" s="1"/>
  <c r="AN71" i="4"/>
  <c r="BJ71" i="4" s="1"/>
  <c r="AE71" i="4"/>
  <c r="BA71" i="4" s="1"/>
  <c r="AP71" i="4"/>
  <c r="BL71" i="4" s="1"/>
  <c r="AC71" i="4"/>
  <c r="AY71" i="4" s="1"/>
  <c r="AO71" i="4"/>
  <c r="BK71" i="4" s="1"/>
  <c r="AM71" i="4"/>
  <c r="BI71" i="4" s="1"/>
  <c r="AL71" i="4"/>
  <c r="BH71" i="4" s="1"/>
  <c r="AV71" i="4"/>
  <c r="BR71" i="4" s="1"/>
  <c r="AG71" i="4"/>
  <c r="BC71" i="4" s="1"/>
  <c r="AU71" i="4"/>
  <c r="BQ71" i="4" s="1"/>
  <c r="AF71" i="4"/>
  <c r="BB71" i="4" s="1"/>
  <c r="AI71" i="4"/>
  <c r="BE71" i="4" s="1"/>
  <c r="AD71" i="4"/>
  <c r="AZ71" i="4" s="1"/>
  <c r="AX71" i="4"/>
  <c r="BT71" i="4" s="1"/>
  <c r="AS71" i="4"/>
  <c r="BO71" i="4" s="1"/>
  <c r="AR87" i="4"/>
  <c r="BN87" i="4" s="1"/>
  <c r="AJ87" i="4"/>
  <c r="BF87" i="4" s="1"/>
  <c r="AX87" i="4"/>
  <c r="BT87" i="4" s="1"/>
  <c r="AO87" i="4"/>
  <c r="BK87" i="4" s="1"/>
  <c r="AF87" i="4"/>
  <c r="BB87" i="4" s="1"/>
  <c r="AW87" i="4"/>
  <c r="BS87" i="4" s="1"/>
  <c r="AN87" i="4"/>
  <c r="BJ87" i="4" s="1"/>
  <c r="AE87" i="4"/>
  <c r="BA87" i="4" s="1"/>
  <c r="AV87" i="4"/>
  <c r="BR87" i="4" s="1"/>
  <c r="AM87" i="4"/>
  <c r="BI87" i="4" s="1"/>
  <c r="AD87" i="4"/>
  <c r="AZ87" i="4" s="1"/>
  <c r="AU87" i="4"/>
  <c r="BQ87" i="4" s="1"/>
  <c r="AL87" i="4"/>
  <c r="BH87" i="4" s="1"/>
  <c r="AC87" i="4"/>
  <c r="AY87" i="4" s="1"/>
  <c r="AS87" i="4"/>
  <c r="BO87" i="4" s="1"/>
  <c r="AI87" i="4"/>
  <c r="BE87" i="4" s="1"/>
  <c r="AT87" i="4"/>
  <c r="BP87" i="4" s="1"/>
  <c r="AQ87" i="4"/>
  <c r="BM87" i="4" s="1"/>
  <c r="AP87" i="4"/>
  <c r="BL87" i="4" s="1"/>
  <c r="AK87" i="4"/>
  <c r="BG87" i="4" s="1"/>
  <c r="AG87" i="4"/>
  <c r="BC87" i="4" s="1"/>
  <c r="AH87" i="4"/>
  <c r="BD87" i="4" s="1"/>
  <c r="AV167" i="4"/>
  <c r="AN167" i="4"/>
  <c r="AF167" i="4"/>
  <c r="AU167" i="4"/>
  <c r="AM167" i="4"/>
  <c r="AE167" i="4"/>
  <c r="AT167" i="4"/>
  <c r="AL167" i="4"/>
  <c r="AD167" i="4"/>
  <c r="AS167" i="4"/>
  <c r="AK167" i="4"/>
  <c r="AC167" i="4"/>
  <c r="AQ167" i="4"/>
  <c r="AI167" i="4"/>
  <c r="AX167" i="4"/>
  <c r="AP167" i="4"/>
  <c r="AH167" i="4"/>
  <c r="AJ167" i="4"/>
  <c r="AG167" i="4"/>
  <c r="AW167" i="4"/>
  <c r="AR167" i="4"/>
  <c r="AO167" i="4"/>
  <c r="BM167" i="4"/>
  <c r="BE167" i="4"/>
  <c r="BN167" i="4"/>
  <c r="BD167" i="4"/>
  <c r="BK167" i="4"/>
  <c r="BA167" i="4"/>
  <c r="BS167" i="4"/>
  <c r="BI167" i="4"/>
  <c r="AY167" i="4"/>
  <c r="BH167" i="4"/>
  <c r="BT167" i="4"/>
  <c r="BG167" i="4"/>
  <c r="BR167" i="4"/>
  <c r="BF167" i="4"/>
  <c r="BQ167" i="4"/>
  <c r="BC167" i="4"/>
  <c r="BL167" i="4"/>
  <c r="BJ167" i="4"/>
  <c r="BB167" i="4"/>
  <c r="AZ167" i="4"/>
  <c r="BP167" i="4"/>
  <c r="BO167" i="4"/>
  <c r="AX82" i="4"/>
  <c r="AP82" i="4"/>
  <c r="BL82" i="4" s="1"/>
  <c r="AH82" i="4"/>
  <c r="BD82" i="4" s="1"/>
  <c r="AO82" i="4"/>
  <c r="BK82" i="4" s="1"/>
  <c r="AF82" i="4"/>
  <c r="BB82" i="4" s="1"/>
  <c r="AV82" i="4"/>
  <c r="BR82" i="4" s="1"/>
  <c r="AM82" i="4"/>
  <c r="BI82" i="4" s="1"/>
  <c r="AD82" i="4"/>
  <c r="AZ82" i="4" s="1"/>
  <c r="AU82" i="4"/>
  <c r="AL82" i="4"/>
  <c r="BH82" i="4" s="1"/>
  <c r="AC82" i="4"/>
  <c r="AY82" i="4" s="1"/>
  <c r="AS82" i="4"/>
  <c r="BO82" i="4" s="1"/>
  <c r="AJ82" i="4"/>
  <c r="BF82" i="4" s="1"/>
  <c r="AG82" i="4"/>
  <c r="BC82" i="4" s="1"/>
  <c r="AW82" i="4"/>
  <c r="BS82" i="4" s="1"/>
  <c r="AE82" i="4"/>
  <c r="BA82" i="4" s="1"/>
  <c r="AT82" i="4"/>
  <c r="BP82" i="4" s="1"/>
  <c r="AR82" i="4"/>
  <c r="BN82" i="4" s="1"/>
  <c r="AN82" i="4"/>
  <c r="BJ82" i="4" s="1"/>
  <c r="AK82" i="4"/>
  <c r="BG82" i="4" s="1"/>
  <c r="AQ82" i="4"/>
  <c r="BM82" i="4" s="1"/>
  <c r="AI82" i="4"/>
  <c r="BE82" i="4" s="1"/>
  <c r="AQ114" i="4"/>
  <c r="BM114" i="4" s="1"/>
  <c r="AI114" i="4"/>
  <c r="BE114" i="4" s="1"/>
  <c r="AR114" i="4"/>
  <c r="AH114" i="4"/>
  <c r="BD114" i="4" s="1"/>
  <c r="AX114" i="4"/>
  <c r="BT114" i="4" s="1"/>
  <c r="AO114" i="4"/>
  <c r="BK114" i="4" s="1"/>
  <c r="AF114" i="4"/>
  <c r="BB114" i="4" s="1"/>
  <c r="AV114" i="4"/>
  <c r="BR114" i="4" s="1"/>
  <c r="AM114" i="4"/>
  <c r="BI114" i="4" s="1"/>
  <c r="AD114" i="4"/>
  <c r="AZ114" i="4" s="1"/>
  <c r="AU114" i="4"/>
  <c r="AL114" i="4"/>
  <c r="BH114" i="4" s="1"/>
  <c r="AC114" i="4"/>
  <c r="AY114" i="4" s="1"/>
  <c r="AK114" i="4"/>
  <c r="BG114" i="4" s="1"/>
  <c r="AJ114" i="4"/>
  <c r="BF114" i="4" s="1"/>
  <c r="AG114" i="4"/>
  <c r="BC114" i="4" s="1"/>
  <c r="AW114" i="4"/>
  <c r="BS114" i="4" s="1"/>
  <c r="AE114" i="4"/>
  <c r="BA114" i="4" s="1"/>
  <c r="AS114" i="4"/>
  <c r="AN114" i="4"/>
  <c r="BJ114" i="4" s="1"/>
  <c r="AT114" i="4"/>
  <c r="BP114" i="4" s="1"/>
  <c r="AP114" i="4"/>
  <c r="BL114" i="4" s="1"/>
  <c r="AT170" i="4"/>
  <c r="AL170" i="4"/>
  <c r="AD170" i="4"/>
  <c r="AS170" i="4"/>
  <c r="AK170" i="4"/>
  <c r="AC170" i="4"/>
  <c r="AR170" i="4"/>
  <c r="AJ170" i="4"/>
  <c r="AQ170" i="4"/>
  <c r="AI170" i="4"/>
  <c r="AW170" i="4"/>
  <c r="AO170" i="4"/>
  <c r="AG170" i="4"/>
  <c r="AV170" i="4"/>
  <c r="AN170" i="4"/>
  <c r="AF170" i="4"/>
  <c r="AH170" i="4"/>
  <c r="AE170" i="4"/>
  <c r="AX170" i="4"/>
  <c r="AU170" i="4"/>
  <c r="AP170" i="4"/>
  <c r="AM170" i="4"/>
  <c r="BS170" i="4"/>
  <c r="BK170" i="4"/>
  <c r="BC170" i="4"/>
  <c r="BL170" i="4"/>
  <c r="BB170" i="4"/>
  <c r="BR170" i="4"/>
  <c r="BH170" i="4"/>
  <c r="BP170" i="4"/>
  <c r="BF170" i="4"/>
  <c r="BM170" i="4"/>
  <c r="AY170" i="4"/>
  <c r="BJ170" i="4"/>
  <c r="BI170" i="4"/>
  <c r="BG170" i="4"/>
  <c r="BA170" i="4"/>
  <c r="AZ170" i="4"/>
  <c r="BT170" i="4"/>
  <c r="BQ170" i="4"/>
  <c r="BO170" i="4"/>
  <c r="BN170" i="4"/>
  <c r="BE170" i="4"/>
  <c r="BD170" i="4"/>
  <c r="AU132" i="4"/>
  <c r="AM132" i="4"/>
  <c r="AE132" i="4"/>
  <c r="AX132" i="4"/>
  <c r="AO132" i="4"/>
  <c r="AF132" i="4"/>
  <c r="AW132" i="4"/>
  <c r="AN132" i="4"/>
  <c r="AD132" i="4"/>
  <c r="AV132" i="4"/>
  <c r="AL132" i="4"/>
  <c r="AC132" i="4"/>
  <c r="AT132" i="4"/>
  <c r="AK132" i="4"/>
  <c r="AS132" i="4"/>
  <c r="AJ132" i="4"/>
  <c r="AR132" i="4"/>
  <c r="AI132" i="4"/>
  <c r="AP132" i="4"/>
  <c r="AQ132" i="4"/>
  <c r="AH132" i="4"/>
  <c r="AG132" i="4"/>
  <c r="BN132" i="4"/>
  <c r="BF132" i="4"/>
  <c r="BT132" i="4"/>
  <c r="BK132" i="4"/>
  <c r="BB132" i="4"/>
  <c r="BS132" i="4"/>
  <c r="BJ132" i="4"/>
  <c r="BI132" i="4"/>
  <c r="BA132" i="4"/>
  <c r="BR132" i="4"/>
  <c r="AZ132" i="4"/>
  <c r="BQ132" i="4"/>
  <c r="BH132" i="4"/>
  <c r="AY132" i="4"/>
  <c r="BL132" i="4"/>
  <c r="BG132" i="4"/>
  <c r="BE132" i="4"/>
  <c r="BD132" i="4"/>
  <c r="BO132" i="4"/>
  <c r="BM132" i="4"/>
  <c r="BP132" i="4"/>
  <c r="BC132" i="4"/>
  <c r="AX147" i="4"/>
  <c r="AP147" i="4"/>
  <c r="AH147" i="4"/>
  <c r="AV147" i="4"/>
  <c r="AN147" i="4"/>
  <c r="AF147" i="4"/>
  <c r="AS147" i="4"/>
  <c r="AK147" i="4"/>
  <c r="AC147" i="4"/>
  <c r="AQ147" i="4"/>
  <c r="AD147" i="4"/>
  <c r="AO147" i="4"/>
  <c r="AM147" i="4"/>
  <c r="AL147" i="4"/>
  <c r="AW147" i="4"/>
  <c r="AJ147" i="4"/>
  <c r="AU147" i="4"/>
  <c r="AI147" i="4"/>
  <c r="AT147" i="4"/>
  <c r="AR147" i="4"/>
  <c r="AG147" i="4"/>
  <c r="AE147" i="4"/>
  <c r="BT147" i="4"/>
  <c r="BL147" i="4"/>
  <c r="BD147" i="4"/>
  <c r="BN147" i="4"/>
  <c r="BE147" i="4"/>
  <c r="BJ147" i="4"/>
  <c r="AZ147" i="4"/>
  <c r="BS147" i="4"/>
  <c r="BI147" i="4"/>
  <c r="AY147" i="4"/>
  <c r="BR147" i="4"/>
  <c r="BH147" i="4"/>
  <c r="BQ147" i="4"/>
  <c r="BG147" i="4"/>
  <c r="BK147" i="4"/>
  <c r="BF147" i="4"/>
  <c r="BC147" i="4"/>
  <c r="BB147" i="4"/>
  <c r="BA147" i="4"/>
  <c r="BP147" i="4"/>
  <c r="BM147" i="4"/>
  <c r="BO147" i="4"/>
  <c r="AW30" i="4"/>
  <c r="AO30" i="4"/>
  <c r="BK30" i="4" s="1"/>
  <c r="AG30" i="4"/>
  <c r="BC30" i="4" s="1"/>
  <c r="AR30" i="4"/>
  <c r="BN30" i="4" s="1"/>
  <c r="AI30" i="4"/>
  <c r="BE30" i="4" s="1"/>
  <c r="AQ30" i="4"/>
  <c r="BM30" i="4" s="1"/>
  <c r="AH30" i="4"/>
  <c r="BD30" i="4" s="1"/>
  <c r="AP30" i="4"/>
  <c r="BL30" i="4" s="1"/>
  <c r="AF30" i="4"/>
  <c r="AX30" i="4"/>
  <c r="BT30" i="4" s="1"/>
  <c r="AN30" i="4"/>
  <c r="BJ30" i="4" s="1"/>
  <c r="AE30" i="4"/>
  <c r="BA30" i="4" s="1"/>
  <c r="AU30" i="4"/>
  <c r="BQ30" i="4" s="1"/>
  <c r="AL30" i="4"/>
  <c r="BH30" i="4" s="1"/>
  <c r="AC30" i="4"/>
  <c r="AY30" i="4" s="1"/>
  <c r="AK30" i="4"/>
  <c r="BG30" i="4" s="1"/>
  <c r="AD30" i="4"/>
  <c r="AV30" i="4"/>
  <c r="BR30" i="4" s="1"/>
  <c r="AT30" i="4"/>
  <c r="BP30" i="4" s="1"/>
  <c r="AS30" i="4"/>
  <c r="BO30" i="4" s="1"/>
  <c r="AM30" i="4"/>
  <c r="BI30" i="4" s="1"/>
  <c r="AJ30" i="4"/>
  <c r="BF30" i="4" s="1"/>
  <c r="AV73" i="4"/>
  <c r="BR73" i="4" s="1"/>
  <c r="AN73" i="4"/>
  <c r="BJ73" i="4" s="1"/>
  <c r="AF73" i="4"/>
  <c r="BB73" i="4" s="1"/>
  <c r="AU73" i="4"/>
  <c r="BQ73" i="4" s="1"/>
  <c r="AL73" i="4"/>
  <c r="BH73" i="4" s="1"/>
  <c r="AC73" i="4"/>
  <c r="AY73" i="4" s="1"/>
  <c r="AS73" i="4"/>
  <c r="BO73" i="4" s="1"/>
  <c r="AJ73" i="4"/>
  <c r="BF73" i="4" s="1"/>
  <c r="AR73" i="4"/>
  <c r="BN73" i="4" s="1"/>
  <c r="AI73" i="4"/>
  <c r="BE73" i="4" s="1"/>
  <c r="AP73" i="4"/>
  <c r="BL73" i="4" s="1"/>
  <c r="AG73" i="4"/>
  <c r="BC73" i="4" s="1"/>
  <c r="AW73" i="4"/>
  <c r="BS73" i="4" s="1"/>
  <c r="AD73" i="4"/>
  <c r="AZ73" i="4" s="1"/>
  <c r="AT73" i="4"/>
  <c r="BP73" i="4" s="1"/>
  <c r="AQ73" i="4"/>
  <c r="BM73" i="4" s="1"/>
  <c r="AO73" i="4"/>
  <c r="BK73" i="4" s="1"/>
  <c r="AK73" i="4"/>
  <c r="BG73" i="4" s="1"/>
  <c r="AH73" i="4"/>
  <c r="BD73" i="4" s="1"/>
  <c r="AM73" i="4"/>
  <c r="BI73" i="4" s="1"/>
  <c r="AX73" i="4"/>
  <c r="BT73" i="4" s="1"/>
  <c r="AE73" i="4"/>
  <c r="BA73" i="4" s="1"/>
  <c r="AW129" i="4"/>
  <c r="BS129" i="4" s="1"/>
  <c r="AO129" i="4"/>
  <c r="BK129" i="4" s="1"/>
  <c r="AG129" i="4"/>
  <c r="BC129" i="4" s="1"/>
  <c r="AQ129" i="4"/>
  <c r="BM129" i="4" s="1"/>
  <c r="AH129" i="4"/>
  <c r="BD129" i="4" s="1"/>
  <c r="AP129" i="4"/>
  <c r="BL129" i="4" s="1"/>
  <c r="AF129" i="4"/>
  <c r="BB129" i="4" s="1"/>
  <c r="AX129" i="4"/>
  <c r="BT129" i="4" s="1"/>
  <c r="AN129" i="4"/>
  <c r="BJ129" i="4" s="1"/>
  <c r="AE129" i="4"/>
  <c r="BA129" i="4" s="1"/>
  <c r="AV129" i="4"/>
  <c r="BR129" i="4" s="1"/>
  <c r="AM129" i="4"/>
  <c r="BI129" i="4" s="1"/>
  <c r="AD129" i="4"/>
  <c r="AZ129" i="4" s="1"/>
  <c r="AU129" i="4"/>
  <c r="BQ129" i="4" s="1"/>
  <c r="AL129" i="4"/>
  <c r="BH129" i="4" s="1"/>
  <c r="AC129" i="4"/>
  <c r="AY129" i="4" s="1"/>
  <c r="AT129" i="4"/>
  <c r="BP129" i="4" s="1"/>
  <c r="AK129" i="4"/>
  <c r="BG129" i="4" s="1"/>
  <c r="AS129" i="4"/>
  <c r="BO129" i="4" s="1"/>
  <c r="AR129" i="4"/>
  <c r="BN129" i="4" s="1"/>
  <c r="AI129" i="4"/>
  <c r="BE129" i="4" s="1"/>
  <c r="AJ129" i="4"/>
  <c r="BF129" i="4" s="1"/>
  <c r="AS12" i="4"/>
  <c r="BO12" i="4" s="1"/>
  <c r="AK12" i="4"/>
  <c r="BG12" i="4" s="1"/>
  <c r="AC12" i="4"/>
  <c r="AY12" i="4" s="1"/>
  <c r="AX12" i="4"/>
  <c r="BT12" i="4" s="1"/>
  <c r="AO12" i="4"/>
  <c r="BK12" i="4" s="1"/>
  <c r="AF12" i="4"/>
  <c r="BB12" i="4" s="1"/>
  <c r="AV12" i="4"/>
  <c r="BR12" i="4" s="1"/>
  <c r="AL12" i="4"/>
  <c r="BH12" i="4" s="1"/>
  <c r="AT12" i="4"/>
  <c r="BP12" i="4" s="1"/>
  <c r="AI12" i="4"/>
  <c r="BE12" i="4" s="1"/>
  <c r="AR12" i="4"/>
  <c r="BN12" i="4" s="1"/>
  <c r="AE12" i="4"/>
  <c r="BA12" i="4" s="1"/>
  <c r="AQ12" i="4"/>
  <c r="BM12" i="4" s="1"/>
  <c r="AD12" i="4"/>
  <c r="AZ12" i="4" s="1"/>
  <c r="AM12" i="4"/>
  <c r="BI12" i="4" s="1"/>
  <c r="AP12" i="4"/>
  <c r="BL12" i="4" s="1"/>
  <c r="AN12" i="4"/>
  <c r="BJ12" i="4" s="1"/>
  <c r="AU12" i="4"/>
  <c r="BQ12" i="4" s="1"/>
  <c r="AJ12" i="4"/>
  <c r="BF12" i="4" s="1"/>
  <c r="AH12" i="4"/>
  <c r="BD12" i="4" s="1"/>
  <c r="AG12" i="4"/>
  <c r="BC12" i="4" s="1"/>
  <c r="AW12" i="4"/>
  <c r="BS12" i="4" s="1"/>
  <c r="AT92" i="4"/>
  <c r="BP92" i="4" s="1"/>
  <c r="AL92" i="4"/>
  <c r="BH92" i="4" s="1"/>
  <c r="AD92" i="4"/>
  <c r="AZ92" i="4" s="1"/>
  <c r="AX92" i="4"/>
  <c r="BT92" i="4" s="1"/>
  <c r="AO92" i="4"/>
  <c r="BK92" i="4" s="1"/>
  <c r="AF92" i="4"/>
  <c r="BB92" i="4" s="1"/>
  <c r="AW92" i="4"/>
  <c r="BS92" i="4" s="1"/>
  <c r="AN92" i="4"/>
  <c r="BJ92" i="4" s="1"/>
  <c r="AE92" i="4"/>
  <c r="BA92" i="4" s="1"/>
  <c r="AV92" i="4"/>
  <c r="BR92" i="4" s="1"/>
  <c r="AM92" i="4"/>
  <c r="BI92" i="4" s="1"/>
  <c r="AC92" i="4"/>
  <c r="AY92" i="4" s="1"/>
  <c r="AU92" i="4"/>
  <c r="BQ92" i="4" s="1"/>
  <c r="AK92" i="4"/>
  <c r="BG92" i="4" s="1"/>
  <c r="AR92" i="4"/>
  <c r="BN92" i="4" s="1"/>
  <c r="AI92" i="4"/>
  <c r="BE92" i="4" s="1"/>
  <c r="AH92" i="4"/>
  <c r="BD92" i="4" s="1"/>
  <c r="AG92" i="4"/>
  <c r="BC92" i="4" s="1"/>
  <c r="AQ92" i="4"/>
  <c r="BM92" i="4" s="1"/>
  <c r="AP92" i="4"/>
  <c r="BL92" i="4" s="1"/>
  <c r="AS92" i="4"/>
  <c r="BO92" i="4" s="1"/>
  <c r="AJ92" i="4"/>
  <c r="BF92" i="4" s="1"/>
  <c r="AV142" i="4"/>
  <c r="AN142" i="4"/>
  <c r="AF142" i="4"/>
  <c r="AT142" i="4"/>
  <c r="AL142" i="4"/>
  <c r="AD142" i="4"/>
  <c r="AQ142" i="4"/>
  <c r="AI142" i="4"/>
  <c r="AX142" i="4"/>
  <c r="AK142" i="4"/>
  <c r="AW142" i="4"/>
  <c r="AJ142" i="4"/>
  <c r="AU142" i="4"/>
  <c r="AH142" i="4"/>
  <c r="AS142" i="4"/>
  <c r="AG142" i="4"/>
  <c r="AR142" i="4"/>
  <c r="AE142" i="4"/>
  <c r="AP142" i="4"/>
  <c r="AC142" i="4"/>
  <c r="AO142" i="4"/>
  <c r="AM142" i="4"/>
  <c r="BR142" i="4"/>
  <c r="BJ142" i="4"/>
  <c r="BB142" i="4"/>
  <c r="BN142" i="4"/>
  <c r="BE142" i="4"/>
  <c r="BP142" i="4"/>
  <c r="BF142" i="4"/>
  <c r="BO142" i="4"/>
  <c r="BD142" i="4"/>
  <c r="BM142" i="4"/>
  <c r="BC142" i="4"/>
  <c r="BL142" i="4"/>
  <c r="BA142" i="4"/>
  <c r="BQ142" i="4"/>
  <c r="BG142" i="4"/>
  <c r="BK142" i="4"/>
  <c r="BI142" i="4"/>
  <c r="BH142" i="4"/>
  <c r="AZ142" i="4"/>
  <c r="BS142" i="4"/>
  <c r="AY142" i="4"/>
  <c r="BT142" i="4"/>
  <c r="AR161" i="4"/>
  <c r="AJ161" i="4"/>
  <c r="AQ161" i="4"/>
  <c r="AI161" i="4"/>
  <c r="AX161" i="4"/>
  <c r="AP161" i="4"/>
  <c r="AH161" i="4"/>
  <c r="AW161" i="4"/>
  <c r="AO161" i="4"/>
  <c r="AG161" i="4"/>
  <c r="AU161" i="4"/>
  <c r="AM161" i="4"/>
  <c r="AE161" i="4"/>
  <c r="AT161" i="4"/>
  <c r="AL161" i="4"/>
  <c r="AD161" i="4"/>
  <c r="AV161" i="4"/>
  <c r="AS161" i="4"/>
  <c r="AN161" i="4"/>
  <c r="AK161" i="4"/>
  <c r="AF161" i="4"/>
  <c r="AC161" i="4"/>
  <c r="BP161" i="4"/>
  <c r="BH161" i="4"/>
  <c r="AZ161" i="4"/>
  <c r="BN161" i="4"/>
  <c r="BE161" i="4"/>
  <c r="BK161" i="4"/>
  <c r="BA161" i="4"/>
  <c r="BT161" i="4"/>
  <c r="BJ161" i="4"/>
  <c r="AY161" i="4"/>
  <c r="BS161" i="4"/>
  <c r="BI161" i="4"/>
  <c r="BR161" i="4"/>
  <c r="BG161" i="4"/>
  <c r="BM161" i="4"/>
  <c r="BL161" i="4"/>
  <c r="BF161" i="4"/>
  <c r="BD161" i="4"/>
  <c r="BC161" i="4"/>
  <c r="BB161" i="4"/>
  <c r="BQ161" i="4"/>
  <c r="BO161" i="4"/>
  <c r="AV53" i="4"/>
  <c r="BR53" i="4" s="1"/>
  <c r="AN53" i="4"/>
  <c r="BJ53" i="4" s="1"/>
  <c r="AF53" i="4"/>
  <c r="AQ53" i="4"/>
  <c r="BM53" i="4" s="1"/>
  <c r="AH53" i="4"/>
  <c r="BD53" i="4" s="1"/>
  <c r="AP53" i="4"/>
  <c r="BL53" i="4" s="1"/>
  <c r="AE53" i="4"/>
  <c r="BA53" i="4" s="1"/>
  <c r="AO53" i="4"/>
  <c r="BK53" i="4" s="1"/>
  <c r="AD53" i="4"/>
  <c r="AZ53" i="4" s="1"/>
  <c r="AX53" i="4"/>
  <c r="BT53" i="4" s="1"/>
  <c r="AM53" i="4"/>
  <c r="AC53" i="4"/>
  <c r="AY53" i="4" s="1"/>
  <c r="AW53" i="4"/>
  <c r="BS53" i="4" s="1"/>
  <c r="AL53" i="4"/>
  <c r="BH53" i="4" s="1"/>
  <c r="AT53" i="4"/>
  <c r="BP53" i="4" s="1"/>
  <c r="AJ53" i="4"/>
  <c r="BF53" i="4" s="1"/>
  <c r="AK53" i="4"/>
  <c r="BG53" i="4" s="1"/>
  <c r="AG53" i="4"/>
  <c r="BC53" i="4" s="1"/>
  <c r="AI53" i="4"/>
  <c r="BE53" i="4" s="1"/>
  <c r="AU53" i="4"/>
  <c r="BQ53" i="4" s="1"/>
  <c r="AS53" i="4"/>
  <c r="BO53" i="4" s="1"/>
  <c r="AR53" i="4"/>
  <c r="BN53" i="4" s="1"/>
  <c r="AW133" i="4"/>
  <c r="AO133" i="4"/>
  <c r="AG133" i="4"/>
  <c r="AT133" i="4"/>
  <c r="AK133" i="4"/>
  <c r="AS133" i="4"/>
  <c r="AJ133" i="4"/>
  <c r="AR133" i="4"/>
  <c r="AI133" i="4"/>
  <c r="AQ133" i="4"/>
  <c r="AH133" i="4"/>
  <c r="AP133" i="4"/>
  <c r="AF133" i="4"/>
  <c r="AX133" i="4"/>
  <c r="AN133" i="4"/>
  <c r="AE133" i="4"/>
  <c r="AM133" i="4"/>
  <c r="AL133" i="4"/>
  <c r="AD133" i="4"/>
  <c r="AC133" i="4"/>
  <c r="AU133" i="4"/>
  <c r="BP133" i="4"/>
  <c r="BH133" i="4"/>
  <c r="AZ133" i="4"/>
  <c r="BQ133" i="4"/>
  <c r="BG133" i="4"/>
  <c r="BO133" i="4"/>
  <c r="BF133" i="4"/>
  <c r="AV133" i="4"/>
  <c r="BN133" i="4"/>
  <c r="BE133" i="4"/>
  <c r="BM133" i="4"/>
  <c r="BD133" i="4"/>
  <c r="BI133" i="4"/>
  <c r="BR133" i="4"/>
  <c r="BC133" i="4"/>
  <c r="BT133" i="4"/>
  <c r="BB133" i="4"/>
  <c r="BS133" i="4"/>
  <c r="BA133" i="4"/>
  <c r="BL133" i="4"/>
  <c r="BJ133" i="4"/>
  <c r="BK133" i="4"/>
  <c r="AY133" i="4"/>
  <c r="AU120" i="4"/>
  <c r="BQ120" i="4" s="1"/>
  <c r="AM120" i="4"/>
  <c r="BI120" i="4" s="1"/>
  <c r="AE120" i="4"/>
  <c r="BA120" i="4" s="1"/>
  <c r="AW120" i="4"/>
  <c r="BS120" i="4" s="1"/>
  <c r="AN120" i="4"/>
  <c r="BJ120" i="4" s="1"/>
  <c r="AD120" i="4"/>
  <c r="AZ120" i="4" s="1"/>
  <c r="AT120" i="4"/>
  <c r="BP120" i="4" s="1"/>
  <c r="AK120" i="4"/>
  <c r="BG120" i="4" s="1"/>
  <c r="AS120" i="4"/>
  <c r="BO120" i="4" s="1"/>
  <c r="AJ120" i="4"/>
  <c r="BF120" i="4" s="1"/>
  <c r="AR120" i="4"/>
  <c r="BN120" i="4" s="1"/>
  <c r="AI120" i="4"/>
  <c r="BE120" i="4" s="1"/>
  <c r="AQ120" i="4"/>
  <c r="BM120" i="4" s="1"/>
  <c r="AH120" i="4"/>
  <c r="BD120" i="4" s="1"/>
  <c r="AG120" i="4"/>
  <c r="BC120" i="4" s="1"/>
  <c r="AF120" i="4"/>
  <c r="BB120" i="4" s="1"/>
  <c r="AC120" i="4"/>
  <c r="AY120" i="4" s="1"/>
  <c r="AX120" i="4"/>
  <c r="BT120" i="4" s="1"/>
  <c r="AP120" i="4"/>
  <c r="BL120" i="4" s="1"/>
  <c r="AO120" i="4"/>
  <c r="BK120" i="4" s="1"/>
  <c r="AL120" i="4"/>
  <c r="BH120" i="4" s="1"/>
  <c r="AV120" i="4"/>
  <c r="BR120" i="4" s="1"/>
  <c r="AQ19" i="4"/>
  <c r="BM19" i="4" s="1"/>
  <c r="AI19" i="4"/>
  <c r="BE19" i="4" s="1"/>
  <c r="AV19" i="4"/>
  <c r="BR19" i="4" s="1"/>
  <c r="AM19" i="4"/>
  <c r="BI19" i="4" s="1"/>
  <c r="AU19" i="4"/>
  <c r="BQ19" i="4" s="1"/>
  <c r="AL19" i="4"/>
  <c r="BH19" i="4" s="1"/>
  <c r="AT19" i="4"/>
  <c r="BP19" i="4" s="1"/>
  <c r="AK19" i="4"/>
  <c r="BG19" i="4" s="1"/>
  <c r="AP19" i="4"/>
  <c r="BL19" i="4" s="1"/>
  <c r="AG19" i="4"/>
  <c r="BC19" i="4" s="1"/>
  <c r="AN19" i="4"/>
  <c r="BJ19" i="4" s="1"/>
  <c r="AH19" i="4"/>
  <c r="BD19" i="4" s="1"/>
  <c r="AO19" i="4"/>
  <c r="BK19" i="4" s="1"/>
  <c r="AJ19" i="4"/>
  <c r="BF19" i="4" s="1"/>
  <c r="AD19" i="4"/>
  <c r="AZ19" i="4" s="1"/>
  <c r="AF19" i="4"/>
  <c r="BB19" i="4" s="1"/>
  <c r="AE19" i="4"/>
  <c r="BA19" i="4" s="1"/>
  <c r="AX19" i="4"/>
  <c r="BT19" i="4" s="1"/>
  <c r="AW19" i="4"/>
  <c r="BS19" i="4" s="1"/>
  <c r="AS19" i="4"/>
  <c r="BO19" i="4" s="1"/>
  <c r="AR19" i="4"/>
  <c r="BN19" i="4" s="1"/>
  <c r="AC19" i="4"/>
  <c r="AY19" i="4" s="1"/>
  <c r="AQ35" i="4"/>
  <c r="BM35" i="4" s="1"/>
  <c r="AI35" i="4"/>
  <c r="BE35" i="4" s="1"/>
  <c r="AR35" i="4"/>
  <c r="BN35" i="4" s="1"/>
  <c r="AH35" i="4"/>
  <c r="BD35" i="4" s="1"/>
  <c r="AP35" i="4"/>
  <c r="BL35" i="4" s="1"/>
  <c r="AG35" i="4"/>
  <c r="BC35" i="4" s="1"/>
  <c r="AX35" i="4"/>
  <c r="BT35" i="4" s="1"/>
  <c r="AO35" i="4"/>
  <c r="BK35" i="4" s="1"/>
  <c r="AF35" i="4"/>
  <c r="BB35" i="4" s="1"/>
  <c r="AW35" i="4"/>
  <c r="BS35" i="4" s="1"/>
  <c r="AN35" i="4"/>
  <c r="BJ35" i="4" s="1"/>
  <c r="AE35" i="4"/>
  <c r="BA35" i="4" s="1"/>
  <c r="AU35" i="4"/>
  <c r="BQ35" i="4" s="1"/>
  <c r="AL35" i="4"/>
  <c r="BH35" i="4" s="1"/>
  <c r="AC35" i="4"/>
  <c r="AY35" i="4" s="1"/>
  <c r="AV35" i="4"/>
  <c r="BR35" i="4" s="1"/>
  <c r="AS35" i="4"/>
  <c r="BO35" i="4" s="1"/>
  <c r="AT35" i="4"/>
  <c r="BP35" i="4" s="1"/>
  <c r="AM35" i="4"/>
  <c r="BI35" i="4" s="1"/>
  <c r="AK35" i="4"/>
  <c r="BG35" i="4" s="1"/>
  <c r="AJ35" i="4"/>
  <c r="BF35" i="4" s="1"/>
  <c r="AD35" i="4"/>
  <c r="AZ35" i="4" s="1"/>
  <c r="AT145" i="4"/>
  <c r="AL145" i="4"/>
  <c r="AD145" i="4"/>
  <c r="AR145" i="4"/>
  <c r="AJ145" i="4"/>
  <c r="AW145" i="4"/>
  <c r="AO145" i="4"/>
  <c r="AG145" i="4"/>
  <c r="AV145" i="4"/>
  <c r="AI145" i="4"/>
  <c r="AU145" i="4"/>
  <c r="AH145" i="4"/>
  <c r="AS145" i="4"/>
  <c r="AF145" i="4"/>
  <c r="AQ145" i="4"/>
  <c r="AE145" i="4"/>
  <c r="AP145" i="4"/>
  <c r="AC145" i="4"/>
  <c r="AN145" i="4"/>
  <c r="AM145" i="4"/>
  <c r="AK145" i="4"/>
  <c r="BP145" i="4"/>
  <c r="BH145" i="4"/>
  <c r="AZ145" i="4"/>
  <c r="AX145" i="4"/>
  <c r="BL145" i="4"/>
  <c r="BC145" i="4"/>
  <c r="BM145" i="4"/>
  <c r="BB145" i="4"/>
  <c r="BK145" i="4"/>
  <c r="BA145" i="4"/>
  <c r="BT145" i="4"/>
  <c r="BJ145" i="4"/>
  <c r="AY145" i="4"/>
  <c r="BS145" i="4"/>
  <c r="BI145" i="4"/>
  <c r="BN145" i="4"/>
  <c r="BG145" i="4"/>
  <c r="BF145" i="4"/>
  <c r="BE145" i="4"/>
  <c r="BD145" i="4"/>
  <c r="BR145" i="4"/>
  <c r="BQ145" i="4"/>
  <c r="BO145" i="4"/>
  <c r="AT76" i="4"/>
  <c r="BP76" i="4" s="1"/>
  <c r="AL76" i="4"/>
  <c r="BH76" i="4" s="1"/>
  <c r="AD76" i="4"/>
  <c r="AZ76" i="4" s="1"/>
  <c r="AS76" i="4"/>
  <c r="BO76" i="4" s="1"/>
  <c r="AJ76" i="4"/>
  <c r="BF76" i="4" s="1"/>
  <c r="AQ76" i="4"/>
  <c r="BM76" i="4" s="1"/>
  <c r="AH76" i="4"/>
  <c r="BD76" i="4" s="1"/>
  <c r="AP76" i="4"/>
  <c r="BL76" i="4" s="1"/>
  <c r="AG76" i="4"/>
  <c r="BC76" i="4" s="1"/>
  <c r="AW76" i="4"/>
  <c r="BS76" i="4" s="1"/>
  <c r="AN76" i="4"/>
  <c r="BJ76" i="4" s="1"/>
  <c r="AE76" i="4"/>
  <c r="BA76" i="4" s="1"/>
  <c r="AK76" i="4"/>
  <c r="BG76" i="4" s="1"/>
  <c r="AI76" i="4"/>
  <c r="BE76" i="4" s="1"/>
  <c r="AX76" i="4"/>
  <c r="BT76" i="4" s="1"/>
  <c r="AF76" i="4"/>
  <c r="BB76" i="4" s="1"/>
  <c r="AV76" i="4"/>
  <c r="BR76" i="4" s="1"/>
  <c r="AC76" i="4"/>
  <c r="AY76" i="4" s="1"/>
  <c r="AR76" i="4"/>
  <c r="BN76" i="4" s="1"/>
  <c r="AO76" i="4"/>
  <c r="BK76" i="4" s="1"/>
  <c r="AU76" i="4"/>
  <c r="BQ76" i="4" s="1"/>
  <c r="AM76" i="4"/>
  <c r="BI76" i="4" s="1"/>
  <c r="P22" i="3"/>
  <c r="I116" i="4"/>
  <c r="K145" i="4"/>
  <c r="I161" i="4"/>
  <c r="M145" i="4"/>
  <c r="I29" i="4"/>
  <c r="K124" i="4"/>
  <c r="J145" i="4"/>
  <c r="L100" i="4"/>
  <c r="Q100" i="4" s="1"/>
  <c r="I87" i="4"/>
  <c r="J94" i="4"/>
  <c r="K24" i="4"/>
  <c r="M40" i="4"/>
  <c r="M28" i="4"/>
  <c r="L161" i="4"/>
  <c r="Q161" i="4" s="1"/>
  <c r="BM104" i="4"/>
  <c r="L124" i="4"/>
  <c r="Q124" i="4" s="1"/>
  <c r="K94" i="4"/>
  <c r="J124" i="4"/>
  <c r="I140" i="4"/>
  <c r="K100" i="4"/>
  <c r="L87" i="4"/>
  <c r="Q87" i="4" s="1"/>
  <c r="R87" i="4" s="1"/>
  <c r="K62" i="4"/>
  <c r="I80" i="4"/>
  <c r="K33" i="4"/>
  <c r="I115" i="4"/>
  <c r="K151" i="4"/>
  <c r="J71" i="4"/>
  <c r="BI88" i="4"/>
  <c r="M36" i="4"/>
  <c r="L116" i="4"/>
  <c r="Q116" i="4" s="1"/>
  <c r="L40" i="4"/>
  <c r="Q40" i="4" s="1"/>
  <c r="R40" i="4" s="1"/>
  <c r="I40" i="4"/>
  <c r="J161" i="4"/>
  <c r="J151" i="4"/>
  <c r="I124" i="4"/>
  <c r="K161" i="4"/>
  <c r="L151" i="4"/>
  <c r="Q151" i="4" s="1"/>
  <c r="K71" i="4"/>
  <c r="L28" i="4"/>
  <c r="Q28" i="4" s="1"/>
  <c r="R28" i="4" s="1"/>
  <c r="J33" i="4"/>
  <c r="K115" i="4"/>
  <c r="I151" i="4"/>
  <c r="I71" i="4"/>
  <c r="BJ104" i="4"/>
  <c r="M87" i="4"/>
  <c r="K116" i="4"/>
  <c r="K87" i="4"/>
  <c r="L58" i="4"/>
  <c r="Q58" i="4" s="1"/>
  <c r="BS104" i="4"/>
  <c r="M153" i="4"/>
  <c r="J115" i="4"/>
  <c r="R115" i="4" s="1"/>
  <c r="K95" i="4"/>
  <c r="L71" i="4"/>
  <c r="Q71" i="4" s="1"/>
  <c r="M140" i="4"/>
  <c r="Z140" i="4" s="1"/>
  <c r="M42" i="4"/>
  <c r="J149" i="4"/>
  <c r="I149" i="4"/>
  <c r="M149" i="4"/>
  <c r="M122" i="4"/>
  <c r="L122" i="4"/>
  <c r="Q122" i="4" s="1"/>
  <c r="R122" i="4" s="1"/>
  <c r="K122" i="4"/>
  <c r="K13" i="4"/>
  <c r="M13" i="4"/>
  <c r="K81" i="4"/>
  <c r="M81" i="4"/>
  <c r="I81" i="4"/>
  <c r="L81" i="4"/>
  <c r="Q81" i="4" s="1"/>
  <c r="M60" i="4"/>
  <c r="Z60" i="4" s="1"/>
  <c r="K60" i="4"/>
  <c r="J23" i="4"/>
  <c r="L23" i="4"/>
  <c r="Q23" i="4" s="1"/>
  <c r="I23" i="4"/>
  <c r="K23" i="4"/>
  <c r="M23" i="4"/>
  <c r="L94" i="4"/>
  <c r="Q94" i="4" s="1"/>
  <c r="I122" i="4"/>
  <c r="M30" i="4"/>
  <c r="K30" i="4"/>
  <c r="L30" i="4"/>
  <c r="Q30" i="4" s="1"/>
  <c r="J112" i="4"/>
  <c r="L112" i="4"/>
  <c r="Q112" i="4" s="1"/>
  <c r="I112" i="4"/>
  <c r="K112" i="4"/>
  <c r="M109" i="4"/>
  <c r="K109" i="4"/>
  <c r="L109" i="4"/>
  <c r="Q109" i="4" s="1"/>
  <c r="R109" i="4" s="1"/>
  <c r="M138" i="4"/>
  <c r="K138" i="4"/>
  <c r="M20" i="4"/>
  <c r="K20" i="4"/>
  <c r="L20" i="4"/>
  <c r="Q20" i="4" s="1"/>
  <c r="J20" i="4"/>
  <c r="I20" i="4"/>
  <c r="L121" i="4"/>
  <c r="Q121" i="4" s="1"/>
  <c r="I121" i="4"/>
  <c r="K121" i="4"/>
  <c r="L128" i="4"/>
  <c r="Q128" i="4" s="1"/>
  <c r="K128" i="4"/>
  <c r="J128" i="4"/>
  <c r="M128" i="4"/>
  <c r="Z128" i="4" s="1"/>
  <c r="I128" i="4"/>
  <c r="M141" i="4"/>
  <c r="Z141" i="4" s="1"/>
  <c r="I141" i="4"/>
  <c r="L149" i="4"/>
  <c r="Q149" i="4" s="1"/>
  <c r="M91" i="4"/>
  <c r="I91" i="4"/>
  <c r="M94" i="4"/>
  <c r="L53" i="4"/>
  <c r="Q53" i="4" s="1"/>
  <c r="K53" i="4"/>
  <c r="I53" i="4"/>
  <c r="J53" i="4"/>
  <c r="J160" i="4"/>
  <c r="I160" i="4"/>
  <c r="M160" i="4"/>
  <c r="L92" i="4"/>
  <c r="Q92" i="4" s="1"/>
  <c r="I92" i="4"/>
  <c r="J36" i="4"/>
  <c r="K141" i="4"/>
  <c r="I36" i="4"/>
  <c r="K93" i="4"/>
  <c r="L93" i="4"/>
  <c r="Q93" i="4" s="1"/>
  <c r="M93" i="4"/>
  <c r="L125" i="4"/>
  <c r="Q125" i="4" s="1"/>
  <c r="M125" i="4"/>
  <c r="K125" i="4"/>
  <c r="L13" i="4"/>
  <c r="Q13" i="4" s="1"/>
  <c r="R13" i="4" s="1"/>
  <c r="M121" i="4"/>
  <c r="J96" i="4"/>
  <c r="K18" i="4"/>
  <c r="L60" i="4"/>
  <c r="Q60" i="4" s="1"/>
  <c r="J141" i="4"/>
  <c r="I96" i="4"/>
  <c r="L36" i="4"/>
  <c r="Q36" i="4" s="1"/>
  <c r="I18" i="4"/>
  <c r="I60" i="4"/>
  <c r="J81" i="4"/>
  <c r="M53" i="4"/>
  <c r="J18" i="4"/>
  <c r="J60" i="4"/>
  <c r="J30" i="4"/>
  <c r="J125" i="4"/>
  <c r="I138" i="4"/>
  <c r="M112" i="4"/>
  <c r="L97" i="4"/>
  <c r="Q97" i="4" s="1"/>
  <c r="J97" i="4"/>
  <c r="M97" i="4"/>
  <c r="I97" i="4"/>
  <c r="K149" i="4"/>
  <c r="K97" i="4"/>
  <c r="J93" i="4"/>
  <c r="J114" i="4"/>
  <c r="I114" i="4"/>
  <c r="L160" i="4"/>
  <c r="Q160" i="4" s="1"/>
  <c r="L96" i="4"/>
  <c r="Q96" i="4" s="1"/>
  <c r="L138" i="4"/>
  <c r="Q138" i="4" s="1"/>
  <c r="M134" i="4"/>
  <c r="K134" i="4"/>
  <c r="I13" i="4"/>
  <c r="L141" i="4"/>
  <c r="Q141" i="4" s="1"/>
  <c r="M96" i="4"/>
  <c r="M11" i="4"/>
  <c r="K42" i="4"/>
  <c r="J146" i="4"/>
  <c r="J56" i="4"/>
  <c r="K59" i="4"/>
  <c r="J153" i="4"/>
  <c r="I105" i="4"/>
  <c r="J62" i="4"/>
  <c r="J156" i="4"/>
  <c r="M61" i="4"/>
  <c r="L56" i="4"/>
  <c r="Q56" i="4" s="1"/>
  <c r="L80" i="4"/>
  <c r="Q80" i="4" s="1"/>
  <c r="J80" i="4"/>
  <c r="L159" i="4"/>
  <c r="Q159" i="4" s="1"/>
  <c r="K56" i="4"/>
  <c r="L61" i="4"/>
  <c r="Q61" i="4" s="1"/>
  <c r="K11" i="4"/>
  <c r="I153" i="4"/>
  <c r="I62" i="4"/>
  <c r="K156" i="4"/>
  <c r="J24" i="4"/>
  <c r="L11" i="4"/>
  <c r="Q11" i="4" s="1"/>
  <c r="L153" i="4"/>
  <c r="Q153" i="4" s="1"/>
  <c r="L24" i="4"/>
  <c r="Q24" i="4" s="1"/>
  <c r="K108" i="4"/>
  <c r="J11" i="4"/>
  <c r="J140" i="4"/>
  <c r="R140" i="4" s="1"/>
  <c r="I24" i="4"/>
  <c r="K119" i="4"/>
  <c r="L42" i="4"/>
  <c r="Q42" i="4" s="1"/>
  <c r="R42" i="4" s="1"/>
  <c r="M108" i="4"/>
  <c r="K99" i="4"/>
  <c r="I131" i="4"/>
  <c r="J119" i="4"/>
  <c r="K80" i="4"/>
  <c r="I42" i="4"/>
  <c r="M131" i="4"/>
  <c r="L108" i="4"/>
  <c r="Q108" i="4" s="1"/>
  <c r="I56" i="4"/>
  <c r="I99" i="4"/>
  <c r="K140" i="4"/>
  <c r="J127" i="4"/>
  <c r="L145" i="4"/>
  <c r="Q145" i="4" s="1"/>
  <c r="L119" i="4"/>
  <c r="Q119" i="4" s="1"/>
  <c r="L29" i="4"/>
  <c r="Q29" i="4" s="1"/>
  <c r="R29" i="4" s="1"/>
  <c r="K58" i="4"/>
  <c r="M111" i="4"/>
  <c r="K113" i="4"/>
  <c r="K76" i="4"/>
  <c r="L73" i="4"/>
  <c r="Q73" i="4" s="1"/>
  <c r="J55" i="4"/>
  <c r="K92" i="4"/>
  <c r="AZ33" i="4"/>
  <c r="I76" i="4"/>
  <c r="K73" i="4"/>
  <c r="K55" i="4"/>
  <c r="J57" i="4"/>
  <c r="R57" i="4" s="1"/>
  <c r="I35" i="4"/>
  <c r="L90" i="4"/>
  <c r="Q90" i="4" s="1"/>
  <c r="J113" i="4"/>
  <c r="L59" i="4"/>
  <c r="Q59" i="4" s="1"/>
  <c r="J73" i="4"/>
  <c r="L55" i="4"/>
  <c r="Q55" i="4" s="1"/>
  <c r="L62" i="4"/>
  <c r="Q62" i="4" s="1"/>
  <c r="J74" i="4"/>
  <c r="M142" i="4"/>
  <c r="Z142" i="4" s="1"/>
  <c r="M74" i="4"/>
  <c r="I59" i="4"/>
  <c r="I113" i="4"/>
  <c r="J99" i="4"/>
  <c r="L114" i="4"/>
  <c r="Q114" i="4" s="1"/>
  <c r="L75" i="4"/>
  <c r="Q75" i="4" s="1"/>
  <c r="R75" i="4" s="1"/>
  <c r="J108" i="4"/>
  <c r="J130" i="4"/>
  <c r="L132" i="4"/>
  <c r="Q132" i="4" s="1"/>
  <c r="L19" i="4"/>
  <c r="Q19" i="4" s="1"/>
  <c r="I119" i="4"/>
  <c r="J121" i="4"/>
  <c r="J58" i="4"/>
  <c r="M130" i="4"/>
  <c r="Z130" i="4" s="1"/>
  <c r="J59" i="4"/>
  <c r="M43" i="4"/>
  <c r="K114" i="4"/>
  <c r="I95" i="4"/>
  <c r="M35" i="4"/>
  <c r="I143" i="4"/>
  <c r="L95" i="4"/>
  <c r="Q95" i="4" s="1"/>
  <c r="K29" i="4"/>
  <c r="K19" i="4"/>
  <c r="K63" i="4"/>
  <c r="J19" i="4"/>
  <c r="K43" i="4"/>
  <c r="K142" i="4"/>
  <c r="L102" i="4"/>
  <c r="Q102" i="4" s="1"/>
  <c r="R102" i="4" s="1"/>
  <c r="I123" i="4"/>
  <c r="J147" i="4"/>
  <c r="I75" i="4"/>
  <c r="L63" i="4"/>
  <c r="Q63" i="4" s="1"/>
  <c r="K82" i="4"/>
  <c r="L35" i="4"/>
  <c r="Q35" i="4" s="1"/>
  <c r="R35" i="4" s="1"/>
  <c r="J43" i="4"/>
  <c r="J142" i="4"/>
  <c r="K57" i="4"/>
  <c r="K90" i="4"/>
  <c r="M75" i="4"/>
  <c r="M90" i="4"/>
  <c r="Z90" i="4" s="1"/>
  <c r="M82" i="4"/>
  <c r="M113" i="4"/>
  <c r="M50" i="4"/>
  <c r="I155" i="4"/>
  <c r="J95" i="4"/>
  <c r="L130" i="4"/>
  <c r="Q130" i="4" s="1"/>
  <c r="K123" i="4"/>
  <c r="J132" i="4"/>
  <c r="J92" i="4"/>
  <c r="K75" i="4"/>
  <c r="I132" i="4"/>
  <c r="I130" i="4"/>
  <c r="L123" i="4"/>
  <c r="Q123" i="4" s="1"/>
  <c r="M92" i="4"/>
  <c r="J123" i="4"/>
  <c r="K147" i="4"/>
  <c r="J63" i="4"/>
  <c r="L82" i="4"/>
  <c r="Q82" i="4" s="1"/>
  <c r="J90" i="4"/>
  <c r="J138" i="4"/>
  <c r="K74" i="4"/>
  <c r="I102" i="4"/>
  <c r="I33" i="4"/>
  <c r="L76" i="4"/>
  <c r="Q76" i="4" s="1"/>
  <c r="I147" i="4"/>
  <c r="J82" i="4"/>
  <c r="K35" i="4"/>
  <c r="I43" i="4"/>
  <c r="I142" i="4"/>
  <c r="I57" i="4"/>
  <c r="J50" i="4"/>
  <c r="I58" i="4"/>
  <c r="M63" i="4"/>
  <c r="K50" i="4"/>
  <c r="L50" i="4"/>
  <c r="Q50" i="4" s="1"/>
  <c r="M19" i="4"/>
  <c r="L147" i="4"/>
  <c r="Q147" i="4" s="1"/>
  <c r="M55" i="4"/>
  <c r="L144" i="4"/>
  <c r="Q144" i="4" s="1"/>
  <c r="J76" i="4"/>
  <c r="J143" i="4"/>
  <c r="J100" i="4"/>
  <c r="K143" i="4"/>
  <c r="I100" i="4"/>
  <c r="L134" i="4"/>
  <c r="Q134" i="4" s="1"/>
  <c r="BP33" i="4"/>
  <c r="I41" i="4"/>
  <c r="J41" i="4"/>
  <c r="K41" i="4"/>
  <c r="BB75" i="4"/>
  <c r="L41" i="4"/>
  <c r="Q41" i="4" s="1"/>
  <c r="K139" i="4"/>
  <c r="L143" i="4"/>
  <c r="Q143" i="4" s="1"/>
  <c r="J27" i="4"/>
  <c r="L72" i="4"/>
  <c r="Q72" i="4" s="1"/>
  <c r="J84" i="4"/>
  <c r="K89" i="4"/>
  <c r="I27" i="4"/>
  <c r="J72" i="4"/>
  <c r="J47" i="4"/>
  <c r="I72" i="4"/>
  <c r="J89" i="4"/>
  <c r="BD80" i="4"/>
  <c r="J144" i="4"/>
  <c r="L47" i="4"/>
  <c r="Q47" i="4" s="1"/>
  <c r="L127" i="4"/>
  <c r="Q127" i="4" s="1"/>
  <c r="J150" i="4"/>
  <c r="K72" i="4"/>
  <c r="I89" i="4"/>
  <c r="J64" i="4"/>
  <c r="L89" i="4"/>
  <c r="Q89" i="4" s="1"/>
  <c r="BP44" i="4"/>
  <c r="J70" i="4"/>
  <c r="K27" i="4"/>
  <c r="BL116" i="4"/>
  <c r="BS80" i="4"/>
  <c r="L64" i="4"/>
  <c r="Q64" i="4" s="1"/>
  <c r="L27" i="4"/>
  <c r="Q27" i="4" s="1"/>
  <c r="L91" i="4"/>
  <c r="Q91" i="4" s="1"/>
  <c r="I86" i="4"/>
  <c r="M86" i="4"/>
  <c r="I7" i="4"/>
  <c r="M7" i="4"/>
  <c r="M8" i="4"/>
  <c r="I8" i="4"/>
  <c r="K8" i="4"/>
  <c r="J8" i="4"/>
  <c r="BP25" i="4"/>
  <c r="I84" i="4"/>
  <c r="I154" i="4"/>
  <c r="I17" i="4"/>
  <c r="M17" i="4"/>
  <c r="I107" i="4"/>
  <c r="M107" i="4"/>
  <c r="L79" i="4"/>
  <c r="Q79" i="4" s="1"/>
  <c r="M79" i="4"/>
  <c r="K79" i="4"/>
  <c r="K64" i="4"/>
  <c r="K102" i="4"/>
  <c r="M102" i="4"/>
  <c r="Z102" i="4" s="1"/>
  <c r="L103" i="4"/>
  <c r="Q103" i="4" s="1"/>
  <c r="M103" i="4"/>
  <c r="K12" i="4"/>
  <c r="M12" i="4"/>
  <c r="I158" i="4"/>
  <c r="M158" i="4"/>
  <c r="I64" i="4"/>
  <c r="L163" i="4"/>
  <c r="Q163" i="4" s="1"/>
  <c r="M163" i="4"/>
  <c r="Z163" i="4" s="1"/>
  <c r="K49" i="4"/>
  <c r="M49" i="4"/>
  <c r="J49" i="4"/>
  <c r="I85" i="4"/>
  <c r="M85" i="4"/>
  <c r="J134" i="4"/>
  <c r="K17" i="4"/>
  <c r="L6" i="4"/>
  <c r="Q6" i="4" s="1"/>
  <c r="J66" i="4"/>
  <c r="M66" i="4"/>
  <c r="BH25" i="4"/>
  <c r="K168" i="4"/>
  <c r="M168" i="4"/>
  <c r="I168" i="4"/>
  <c r="J168" i="4"/>
  <c r="L34" i="4"/>
  <c r="Q34" i="4" s="1"/>
  <c r="M34" i="4"/>
  <c r="L48" i="4"/>
  <c r="Q48" i="4" s="1"/>
  <c r="K68" i="4"/>
  <c r="M68" i="4"/>
  <c r="BG116" i="4"/>
  <c r="K135" i="4"/>
  <c r="M135" i="4"/>
  <c r="L135" i="4"/>
  <c r="Q135" i="4" s="1"/>
  <c r="M136" i="4"/>
  <c r="L136" i="4"/>
  <c r="Q136" i="4" s="1"/>
  <c r="BD109" i="4"/>
  <c r="BM25" i="4"/>
  <c r="J48" i="4"/>
  <c r="J6" i="4"/>
  <c r="L107" i="4"/>
  <c r="Q107" i="4" s="1"/>
  <c r="K6" i="4"/>
  <c r="I6" i="4"/>
  <c r="I136" i="4"/>
  <c r="I134" i="4"/>
  <c r="K84" i="4"/>
  <c r="I127" i="4"/>
  <c r="I162" i="4"/>
  <c r="M162" i="4"/>
  <c r="Z162" i="4" s="1"/>
  <c r="I51" i="4"/>
  <c r="M51" i="4"/>
  <c r="K51" i="4"/>
  <c r="BE18" i="4"/>
  <c r="M150" i="4"/>
  <c r="K150" i="4"/>
  <c r="L150" i="4"/>
  <c r="Q150" i="4" s="1"/>
  <c r="L166" i="4"/>
  <c r="Q166" i="4" s="1"/>
  <c r="M166" i="4"/>
  <c r="K127" i="4"/>
  <c r="I152" i="4"/>
  <c r="M152" i="4"/>
  <c r="J148" i="4"/>
  <c r="M148" i="4"/>
  <c r="BQ111" i="4"/>
  <c r="J22" i="4"/>
  <c r="J68" i="4"/>
  <c r="J164" i="4"/>
  <c r="M164" i="4"/>
  <c r="K22" i="4"/>
  <c r="L68" i="4"/>
  <c r="Q68" i="4" s="1"/>
  <c r="I129" i="4"/>
  <c r="M129" i="4"/>
  <c r="Z129" i="4" s="1"/>
  <c r="I70" i="4"/>
  <c r="M70" i="4"/>
  <c r="I67" i="4"/>
  <c r="M67" i="4"/>
  <c r="K169" i="4"/>
  <c r="M169" i="4"/>
  <c r="K118" i="4"/>
  <c r="M118" i="4"/>
  <c r="Z118" i="4" s="1"/>
  <c r="L118" i="4"/>
  <c r="Q118" i="4" s="1"/>
  <c r="I118" i="4"/>
  <c r="J118" i="4"/>
  <c r="K48" i="4"/>
  <c r="M48" i="4"/>
  <c r="Z48" i="4" s="1"/>
  <c r="L154" i="4"/>
  <c r="Q154" i="4" s="1"/>
  <c r="M154" i="4"/>
  <c r="I117" i="4"/>
  <c r="M117" i="4"/>
  <c r="Z117" i="4" s="1"/>
  <c r="BN109" i="4"/>
  <c r="I144" i="4"/>
  <c r="M144" i="4"/>
  <c r="I146" i="4"/>
  <c r="M146" i="4"/>
  <c r="J17" i="4"/>
  <c r="J136" i="4"/>
  <c r="I38" i="4"/>
  <c r="M38" i="4"/>
  <c r="L84" i="4"/>
  <c r="Q84" i="4" s="1"/>
  <c r="L105" i="4"/>
  <c r="Q105" i="4" s="1"/>
  <c r="M105" i="4"/>
  <c r="L22" i="4"/>
  <c r="Q22" i="4" s="1"/>
  <c r="I22" i="4"/>
  <c r="L66" i="4"/>
  <c r="Q66" i="4" s="1"/>
  <c r="L146" i="4"/>
  <c r="Q146" i="4" s="1"/>
  <c r="I104" i="4"/>
  <c r="M104" i="4"/>
  <c r="J98" i="4"/>
  <c r="M98" i="4"/>
  <c r="J139" i="4"/>
  <c r="M139" i="4"/>
  <c r="K126" i="4"/>
  <c r="M126" i="4"/>
  <c r="I120" i="4"/>
  <c r="M120" i="4"/>
  <c r="L137" i="4"/>
  <c r="Q137" i="4" s="1"/>
  <c r="M137" i="4"/>
  <c r="I10" i="4"/>
  <c r="M10" i="4"/>
  <c r="L126" i="4"/>
  <c r="Q126" i="4" s="1"/>
  <c r="I110" i="4"/>
  <c r="M110" i="4"/>
  <c r="I54" i="4"/>
  <c r="M54" i="4"/>
  <c r="L15" i="4"/>
  <c r="Q15" i="4" s="1"/>
  <c r="M15" i="4"/>
  <c r="J171" i="4"/>
  <c r="M171" i="4"/>
  <c r="Z171" i="4" s="1"/>
  <c r="J126" i="4"/>
  <c r="K39" i="4"/>
  <c r="M39" i="4"/>
  <c r="J21" i="4"/>
  <c r="M21" i="4"/>
  <c r="L83" i="4"/>
  <c r="Q83" i="4" s="1"/>
  <c r="M83" i="4"/>
  <c r="K47" i="4"/>
  <c r="M47" i="4"/>
  <c r="Z47" i="4" s="1"/>
  <c r="I106" i="4"/>
  <c r="M106" i="4"/>
  <c r="L52" i="4"/>
  <c r="Q52" i="4" s="1"/>
  <c r="M52" i="4"/>
  <c r="I31" i="4"/>
  <c r="M31" i="4"/>
  <c r="K106" i="4"/>
  <c r="I139" i="4"/>
  <c r="J7" i="4"/>
  <c r="I83" i="4"/>
  <c r="L38" i="4"/>
  <c r="Q38" i="4" s="1"/>
  <c r="L70" i="4"/>
  <c r="L117" i="4"/>
  <c r="L21" i="4"/>
  <c r="BI16" i="4"/>
  <c r="I148" i="4"/>
  <c r="J163" i="4"/>
  <c r="K107" i="4"/>
  <c r="I21" i="4"/>
  <c r="I137" i="4"/>
  <c r="I34" i="4"/>
  <c r="I169" i="4"/>
  <c r="L168" i="4"/>
  <c r="BQ113" i="4"/>
  <c r="K83" i="4"/>
  <c r="K38" i="4"/>
  <c r="J83" i="4"/>
  <c r="K104" i="4"/>
  <c r="K166" i="4"/>
  <c r="BI53" i="4"/>
  <c r="J166" i="4"/>
  <c r="J12" i="4"/>
  <c r="K34" i="4"/>
  <c r="J137" i="4"/>
  <c r="J34" i="4"/>
  <c r="K15" i="4"/>
  <c r="J169" i="4"/>
  <c r="J106" i="4"/>
  <c r="BB53" i="4"/>
  <c r="AZ44" i="4"/>
  <c r="I135" i="4"/>
  <c r="K163" i="4"/>
  <c r="K7" i="4"/>
  <c r="L106" i="4"/>
  <c r="Q106" i="4" s="1"/>
  <c r="J39" i="4"/>
  <c r="J86" i="4"/>
  <c r="I15" i="4"/>
  <c r="L169" i="4"/>
  <c r="Q169" i="4" s="1"/>
  <c r="K21" i="4"/>
  <c r="J135" i="4"/>
  <c r="BS111" i="4"/>
  <c r="BO97" i="4"/>
  <c r="J51" i="4"/>
  <c r="J38" i="4"/>
  <c r="L104" i="4"/>
  <c r="Q104" i="4" s="1"/>
  <c r="I166" i="4"/>
  <c r="L7" i="4"/>
  <c r="Q7" i="4" s="1"/>
  <c r="R88" i="4"/>
  <c r="I163" i="4"/>
  <c r="L51" i="4"/>
  <c r="Q51" i="4" s="1"/>
  <c r="L86" i="4"/>
  <c r="Q86" i="4" s="1"/>
  <c r="K31" i="4"/>
  <c r="J107" i="4"/>
  <c r="L148" i="4"/>
  <c r="K148" i="4"/>
  <c r="J104" i="4"/>
  <c r="J154" i="4"/>
  <c r="K52" i="4"/>
  <c r="K86" i="4"/>
  <c r="AZ65" i="4"/>
  <c r="BE65" i="4"/>
  <c r="BP65" i="4"/>
  <c r="BF24" i="4"/>
  <c r="BA24" i="4"/>
  <c r="BD125" i="4"/>
  <c r="BA94" i="4"/>
  <c r="BT106" i="4"/>
  <c r="AZ106" i="4"/>
  <c r="BE106" i="4"/>
  <c r="BT82" i="4"/>
  <c r="BQ82" i="4"/>
  <c r="I68" i="4"/>
  <c r="L39" i="4"/>
  <c r="Q39" i="4" s="1"/>
  <c r="J15" i="4"/>
  <c r="BQ86" i="4"/>
  <c r="BC86" i="4"/>
  <c r="BP86" i="4"/>
  <c r="BD86" i="4"/>
  <c r="BB86" i="4"/>
  <c r="AY86" i="4"/>
  <c r="BN86" i="4"/>
  <c r="BL117" i="4"/>
  <c r="BK117" i="4"/>
  <c r="BI117" i="4"/>
  <c r="BB66" i="4"/>
  <c r="AY66" i="4"/>
  <c r="BS66" i="4"/>
  <c r="BP66" i="4"/>
  <c r="BA66" i="4"/>
  <c r="BN63" i="4"/>
  <c r="BO114" i="4"/>
  <c r="BQ114" i="4"/>
  <c r="BN114" i="4"/>
  <c r="BO15" i="4"/>
  <c r="BK15" i="4"/>
  <c r="BQ15" i="4"/>
  <c r="BN26" i="4"/>
  <c r="BD26" i="4"/>
  <c r="BC26" i="4"/>
  <c r="BP26" i="4"/>
  <c r="BH26" i="4"/>
  <c r="BJ26" i="4"/>
  <c r="BQ103" i="4"/>
  <c r="AZ103" i="4"/>
  <c r="BB103" i="4"/>
  <c r="BJ103" i="4"/>
  <c r="BL103" i="4"/>
  <c r="BG103" i="4"/>
  <c r="AZ70" i="4"/>
  <c r="BQ70" i="4"/>
  <c r="I164" i="4"/>
  <c r="I171" i="4"/>
  <c r="BN36" i="4"/>
  <c r="J10" i="4"/>
  <c r="L129" i="4"/>
  <c r="Q129" i="4" s="1"/>
  <c r="K164" i="4"/>
  <c r="L12" i="4"/>
  <c r="Q12" i="4" s="1"/>
  <c r="J162" i="4"/>
  <c r="K117" i="4"/>
  <c r="L164" i="4"/>
  <c r="BC102" i="4"/>
  <c r="BS102" i="4"/>
  <c r="BP102" i="4"/>
  <c r="BQ102" i="4"/>
  <c r="BF102" i="4"/>
  <c r="BH102" i="4"/>
  <c r="AY102" i="4"/>
  <c r="BO98" i="4"/>
  <c r="BD98" i="4"/>
  <c r="BT98" i="4"/>
  <c r="BP98" i="4"/>
  <c r="BM98" i="4"/>
  <c r="BH98" i="4"/>
  <c r="BE98" i="4"/>
  <c r="BP32" i="4"/>
  <c r="BC32" i="4"/>
  <c r="AZ32" i="4"/>
  <c r="BM90" i="4"/>
  <c r="BN52" i="4"/>
  <c r="BT52" i="4"/>
  <c r="BR31" i="4"/>
  <c r="BQ31" i="4"/>
  <c r="BA31" i="4"/>
  <c r="J54" i="4"/>
  <c r="BJ118" i="4"/>
  <c r="BS118" i="4"/>
  <c r="BP118" i="4"/>
  <c r="BL118" i="4"/>
  <c r="AY118" i="4"/>
  <c r="BT118" i="4"/>
  <c r="BE118" i="4"/>
  <c r="BN79" i="4"/>
  <c r="BJ79" i="4"/>
  <c r="BM79" i="4"/>
  <c r="BR79" i="4"/>
  <c r="BQ79" i="4"/>
  <c r="BO79" i="4"/>
  <c r="BP79" i="4"/>
  <c r="BL79" i="4"/>
  <c r="BK79" i="4"/>
  <c r="BI79" i="4"/>
  <c r="BG79" i="4"/>
  <c r="BE79" i="4"/>
  <c r="BD79" i="4"/>
  <c r="BB79" i="4"/>
  <c r="BT79" i="4"/>
  <c r="BS79" i="4"/>
  <c r="BH79" i="4"/>
  <c r="BA79" i="4"/>
  <c r="AZ79" i="4"/>
  <c r="L171" i="4"/>
  <c r="L31" i="4"/>
  <c r="Q31" i="4" s="1"/>
  <c r="K171" i="4"/>
  <c r="K120" i="4"/>
  <c r="I98" i="4"/>
  <c r="L158" i="4"/>
  <c r="Q158" i="4" s="1"/>
  <c r="J152" i="4"/>
  <c r="J79" i="4"/>
  <c r="I49" i="4"/>
  <c r="BA130" i="4"/>
  <c r="BR74" i="4"/>
  <c r="BL105" i="4"/>
  <c r="BF105" i="4"/>
  <c r="BC105" i="4"/>
  <c r="BT9" i="4"/>
  <c r="BS9" i="4"/>
  <c r="AY9" i="4"/>
  <c r="BH9" i="4"/>
  <c r="K66" i="4"/>
  <c r="I103" i="4"/>
  <c r="J31" i="4"/>
  <c r="K98" i="4"/>
  <c r="J129" i="4"/>
  <c r="BH49" i="4"/>
  <c r="BK49" i="4"/>
  <c r="BT49" i="4"/>
  <c r="BE49" i="4"/>
  <c r="BS49" i="4"/>
  <c r="BC49" i="4"/>
  <c r="BQ49" i="4"/>
  <c r="BR41" i="4"/>
  <c r="BS41" i="4"/>
  <c r="BO41" i="4"/>
  <c r="BL41" i="4"/>
  <c r="BJ41" i="4"/>
  <c r="BR42" i="4"/>
  <c r="BO42" i="4"/>
  <c r="BH42" i="4"/>
  <c r="BN127" i="4"/>
  <c r="BE127" i="4"/>
  <c r="BB127" i="4"/>
  <c r="BA127" i="4"/>
  <c r="BR127" i="4"/>
  <c r="BG127" i="4"/>
  <c r="BO127" i="4"/>
  <c r="BL127" i="4"/>
  <c r="BK127" i="4"/>
  <c r="BQ127" i="4"/>
  <c r="BM84" i="4"/>
  <c r="BR84" i="4"/>
  <c r="BP84" i="4"/>
  <c r="J120" i="4"/>
  <c r="K158" i="4"/>
  <c r="I79" i="4"/>
  <c r="BS22" i="4"/>
  <c r="AY22" i="4"/>
  <c r="BJ22" i="4"/>
  <c r="BR91" i="4"/>
  <c r="BN91" i="4"/>
  <c r="BM91" i="4"/>
  <c r="BK91" i="4"/>
  <c r="BF91" i="4"/>
  <c r="BB100" i="4"/>
  <c r="BG100" i="4"/>
  <c r="BD100" i="4"/>
  <c r="BR100" i="4"/>
  <c r="L67" i="4"/>
  <c r="Q67" i="4" s="1"/>
  <c r="I39" i="4"/>
  <c r="K10" i="4"/>
  <c r="L98" i="4"/>
  <c r="L120" i="4"/>
  <c r="Q120" i="4" s="1"/>
  <c r="K152" i="4"/>
  <c r="BS6" i="4"/>
  <c r="BB6" i="4"/>
  <c r="BT6" i="4"/>
  <c r="AZ6" i="4"/>
  <c r="AY6" i="4"/>
  <c r="BF6" i="4"/>
  <c r="BN6" i="4"/>
  <c r="BA6" i="4"/>
  <c r="BI6" i="4"/>
  <c r="BG6" i="4"/>
  <c r="BE6" i="4"/>
  <c r="BP8" i="4"/>
  <c r="BN8" i="4"/>
  <c r="AY8" i="4"/>
  <c r="BM8" i="4"/>
  <c r="BK8" i="4"/>
  <c r="L54" i="4"/>
  <c r="Q54" i="4" s="1"/>
  <c r="K67" i="4"/>
  <c r="J158" i="4"/>
  <c r="K54" i="4"/>
  <c r="L85" i="4"/>
  <c r="Q85" i="4" s="1"/>
  <c r="K162" i="4"/>
  <c r="I12" i="4"/>
  <c r="K129" i="4"/>
  <c r="BH45" i="4"/>
  <c r="BB45" i="4"/>
  <c r="BD68" i="4"/>
  <c r="BR68" i="4"/>
  <c r="BC68" i="4"/>
  <c r="BG68" i="4"/>
  <c r="I66" i="4"/>
  <c r="L10" i="4"/>
  <c r="Q10" i="4" s="1"/>
  <c r="J52" i="4"/>
  <c r="J67" i="4"/>
  <c r="K85" i="4"/>
  <c r="K103" i="4"/>
  <c r="BJ38" i="4"/>
  <c r="BG21" i="4"/>
  <c r="BO21" i="4"/>
  <c r="BM21" i="4"/>
  <c r="BC21" i="4"/>
  <c r="AY21" i="4"/>
  <c r="BS21" i="4"/>
  <c r="BE21" i="4"/>
  <c r="BB21" i="4"/>
  <c r="BJ21" i="4"/>
  <c r="BF21" i="4"/>
  <c r="BA21" i="4"/>
  <c r="BC107" i="4"/>
  <c r="BG107" i="4"/>
  <c r="BH107" i="4"/>
  <c r="BJ107" i="4"/>
  <c r="BJ34" i="4"/>
  <c r="BI34" i="4"/>
  <c r="BE34" i="4"/>
  <c r="BR34" i="4"/>
  <c r="BP51" i="4"/>
  <c r="BN51" i="4"/>
  <c r="BO10" i="4"/>
  <c r="BJ10" i="4"/>
  <c r="BT10" i="4"/>
  <c r="BS10" i="4"/>
  <c r="BC10" i="4"/>
  <c r="BB10" i="4"/>
  <c r="BQ10" i="4"/>
  <c r="AY10" i="4"/>
  <c r="BE10" i="4"/>
  <c r="J103" i="4"/>
  <c r="BM95" i="4"/>
  <c r="BL95" i="4"/>
  <c r="AZ95" i="4"/>
  <c r="L152" i="4"/>
  <c r="Q152" i="4" s="1"/>
  <c r="L49" i="4"/>
  <c r="I52" i="4"/>
  <c r="J85" i="4"/>
  <c r="BK7" i="4"/>
  <c r="BG7" i="4"/>
  <c r="BG83" i="4"/>
  <c r="BR83" i="4"/>
  <c r="BO83" i="4"/>
  <c r="BE78" i="4"/>
  <c r="AZ85" i="4"/>
  <c r="BJ85" i="4"/>
  <c r="BH85" i="4"/>
  <c r="BG85" i="4"/>
  <c r="BE85" i="4"/>
  <c r="BS85" i="4"/>
  <c r="BR85" i="4"/>
  <c r="BF85" i="4"/>
  <c r="BC85" i="4"/>
  <c r="BC126" i="4"/>
  <c r="BD126" i="4"/>
  <c r="BE126" i="4"/>
  <c r="BL126" i="4"/>
  <c r="BK126" i="4"/>
  <c r="BG126" i="4"/>
  <c r="BM48" i="4"/>
  <c r="BI48" i="4"/>
  <c r="BB48" i="4"/>
  <c r="BE48" i="4"/>
  <c r="BQ47" i="4"/>
  <c r="BP47" i="4"/>
  <c r="BN47" i="4"/>
  <c r="BL47" i="4"/>
  <c r="BS47" i="4"/>
  <c r="BG47" i="4"/>
  <c r="BT47" i="4"/>
  <c r="BE47" i="4"/>
  <c r="BF47" i="4"/>
  <c r="BE121" i="4"/>
  <c r="BC121" i="4"/>
  <c r="BS121" i="4"/>
  <c r="AZ64" i="4"/>
  <c r="BO64" i="4"/>
  <c r="BG64" i="4"/>
  <c r="BC64" i="4"/>
  <c r="BJ27" i="4"/>
  <c r="BS27" i="4"/>
  <c r="BG99" i="4"/>
  <c r="BE99" i="4"/>
  <c r="BC99" i="4"/>
  <c r="L162" i="4"/>
  <c r="Q162" i="4" s="1"/>
  <c r="BG54" i="4"/>
  <c r="BT54" i="4"/>
  <c r="BI54" i="4"/>
  <c r="BS29" i="4"/>
  <c r="BT69" i="4"/>
  <c r="BF69" i="4"/>
  <c r="BA69" i="4"/>
  <c r="BS69" i="4"/>
  <c r="BP67" i="4"/>
  <c r="BT46" i="4"/>
  <c r="BL46" i="4"/>
  <c r="BK46" i="4"/>
  <c r="BM46" i="4"/>
  <c r="BF46" i="4"/>
  <c r="AY56" i="4"/>
  <c r="BB56" i="4"/>
  <c r="BS30" i="4"/>
  <c r="AZ30" i="4"/>
  <c r="BB30" i="4"/>
  <c r="L110" i="4"/>
  <c r="Q110" i="4" s="1"/>
  <c r="K110" i="4"/>
  <c r="J110" i="4"/>
  <c r="I46" i="4"/>
  <c r="J46" i="4"/>
  <c r="K46" i="4"/>
  <c r="L46" i="4"/>
  <c r="Q46" i="4" s="1"/>
  <c r="I77" i="4"/>
  <c r="K77" i="4"/>
  <c r="J77" i="4"/>
  <c r="L77" i="4"/>
  <c r="Q77" i="4" s="1"/>
  <c r="K37" i="4"/>
  <c r="I37" i="4"/>
  <c r="J37" i="4"/>
  <c r="L37" i="4"/>
  <c r="Q37" i="4" s="1"/>
  <c r="I133" i="4"/>
  <c r="J133" i="4"/>
  <c r="L133" i="4"/>
  <c r="Q133" i="4" s="1"/>
  <c r="K133" i="4"/>
  <c r="I16" i="4"/>
  <c r="J16" i="4"/>
  <c r="K16" i="4"/>
  <c r="L16" i="4"/>
  <c r="Q16" i="4" s="1"/>
  <c r="I101" i="4"/>
  <c r="J101" i="4"/>
  <c r="K101" i="4"/>
  <c r="L101" i="4"/>
  <c r="Q101" i="4" s="1"/>
  <c r="I45" i="4"/>
  <c r="J45" i="4"/>
  <c r="K45" i="4"/>
  <c r="L45" i="4"/>
  <c r="Q45" i="4" s="1"/>
  <c r="J9" i="4"/>
  <c r="L9" i="4"/>
  <c r="Q9" i="4" s="1"/>
  <c r="I9" i="4"/>
  <c r="K9" i="4"/>
  <c r="I157" i="4"/>
  <c r="J157" i="4"/>
  <c r="K157" i="4"/>
  <c r="L157" i="4"/>
  <c r="Q157" i="4" s="1"/>
  <c r="I26" i="4"/>
  <c r="J26" i="4"/>
  <c r="K26" i="4"/>
  <c r="L26" i="4"/>
  <c r="Q26" i="4" s="1"/>
  <c r="I32" i="4"/>
  <c r="J32" i="4"/>
  <c r="K32" i="4"/>
  <c r="L32" i="4"/>
  <c r="Q32" i="4" s="1"/>
  <c r="I165" i="4"/>
  <c r="J165" i="4"/>
  <c r="K165" i="4"/>
  <c r="L165" i="4"/>
  <c r="Q165" i="4" s="1"/>
  <c r="L5" i="4"/>
  <c r="Q5" i="4" s="1"/>
  <c r="K5" i="4"/>
  <c r="J5" i="4"/>
  <c r="I5" i="4"/>
  <c r="J25" i="4"/>
  <c r="L25" i="4"/>
  <c r="Q25" i="4" s="1"/>
  <c r="K25" i="4"/>
  <c r="I25" i="4"/>
  <c r="J69" i="4"/>
  <c r="I69" i="4"/>
  <c r="K69" i="4"/>
  <c r="L69" i="4"/>
  <c r="Q69" i="4" s="1"/>
  <c r="R131" i="4"/>
  <c r="I14" i="4"/>
  <c r="J14" i="4"/>
  <c r="K14" i="4"/>
  <c r="L14" i="4"/>
  <c r="Q14" i="4" s="1"/>
  <c r="P24" i="3"/>
  <c r="P172" i="4" l="1"/>
  <c r="P13" i="4"/>
  <c r="P87" i="4"/>
  <c r="R65" i="4"/>
  <c r="R170" i="4"/>
  <c r="R61" i="4"/>
  <c r="R23" i="4"/>
  <c r="W15" i="4"/>
  <c r="Z15" i="4"/>
  <c r="X15" i="4"/>
  <c r="Y15" i="4"/>
  <c r="X152" i="4"/>
  <c r="W152" i="4"/>
  <c r="Z152" i="4"/>
  <c r="Y152" i="4"/>
  <c r="Z134" i="4"/>
  <c r="Y134" i="4"/>
  <c r="X134" i="4"/>
  <c r="W31" i="4"/>
  <c r="V31" i="4"/>
  <c r="U31" i="4"/>
  <c r="Z31" i="4"/>
  <c r="Y31" i="4"/>
  <c r="X31" i="4"/>
  <c r="Z126" i="4"/>
  <c r="Y126" i="4"/>
  <c r="Z158" i="4"/>
  <c r="Y158" i="4"/>
  <c r="Y17" i="4"/>
  <c r="X17" i="4"/>
  <c r="W17" i="4"/>
  <c r="Z17" i="4"/>
  <c r="X8" i="4"/>
  <c r="W8" i="4"/>
  <c r="V8" i="4"/>
  <c r="U8" i="4"/>
  <c r="Y8" i="4"/>
  <c r="Z8" i="4"/>
  <c r="T8" i="4"/>
  <c r="Z92" i="4"/>
  <c r="Y92" i="4"/>
  <c r="X92" i="4"/>
  <c r="W92" i="4"/>
  <c r="R159" i="4"/>
  <c r="X112" i="4"/>
  <c r="Z112" i="4"/>
  <c r="Y112" i="4"/>
  <c r="Z13" i="4"/>
  <c r="X13" i="4"/>
  <c r="V13" i="4"/>
  <c r="W13" i="4"/>
  <c r="Y13" i="4"/>
  <c r="X40" i="4"/>
  <c r="Y40" i="4"/>
  <c r="Z40" i="4"/>
  <c r="Z44" i="4"/>
  <c r="Y44" i="4"/>
  <c r="Z52" i="4"/>
  <c r="Y52" i="4"/>
  <c r="X52" i="4"/>
  <c r="Z10" i="4"/>
  <c r="Y10" i="4"/>
  <c r="X10" i="4"/>
  <c r="W10" i="4"/>
  <c r="U10" i="4"/>
  <c r="V10" i="4"/>
  <c r="Z51" i="4"/>
  <c r="Y51" i="4"/>
  <c r="X51" i="4"/>
  <c r="W51" i="4"/>
  <c r="Y49" i="4"/>
  <c r="X49" i="4"/>
  <c r="W49" i="4"/>
  <c r="Z49" i="4"/>
  <c r="Z12" i="4"/>
  <c r="Y12" i="4"/>
  <c r="W12" i="4"/>
  <c r="V12" i="4"/>
  <c r="X12" i="4"/>
  <c r="Z115" i="4"/>
  <c r="Y115" i="4"/>
  <c r="Z132" i="4"/>
  <c r="X132" i="4"/>
  <c r="Y132" i="4"/>
  <c r="W132" i="4"/>
  <c r="X144" i="4"/>
  <c r="W144" i="4"/>
  <c r="V144" i="4"/>
  <c r="T144" i="4"/>
  <c r="U144" i="4"/>
  <c r="Z144" i="4"/>
  <c r="Y144" i="4"/>
  <c r="Z67" i="4"/>
  <c r="Y67" i="4"/>
  <c r="X67" i="4"/>
  <c r="W67" i="4"/>
  <c r="Z164" i="4"/>
  <c r="Y164" i="4"/>
  <c r="X164" i="4"/>
  <c r="Z148" i="4"/>
  <c r="X148" i="4"/>
  <c r="Y148" i="4"/>
  <c r="W148" i="4"/>
  <c r="V148" i="4"/>
  <c r="U148" i="4"/>
  <c r="Z66" i="4"/>
  <c r="Y66" i="4"/>
  <c r="X66" i="4"/>
  <c r="W66" i="4"/>
  <c r="V66" i="4"/>
  <c r="W7" i="4"/>
  <c r="V7" i="4"/>
  <c r="U7" i="4"/>
  <c r="T7" i="4"/>
  <c r="Z7" i="4"/>
  <c r="Y7" i="4"/>
  <c r="X7" i="4"/>
  <c r="Z75" i="4"/>
  <c r="Y75" i="4"/>
  <c r="Z111" i="4"/>
  <c r="Y111" i="4"/>
  <c r="X111" i="4"/>
  <c r="Y121" i="4"/>
  <c r="X121" i="4"/>
  <c r="W121" i="4"/>
  <c r="Z121" i="4"/>
  <c r="Z20" i="4"/>
  <c r="Y20" i="4"/>
  <c r="X20" i="4"/>
  <c r="Y145" i="4"/>
  <c r="X145" i="4"/>
  <c r="W145" i="4"/>
  <c r="V145" i="4"/>
  <c r="U145" i="4"/>
  <c r="T145" i="4"/>
  <c r="Z145" i="4"/>
  <c r="Y65" i="4"/>
  <c r="X65" i="4"/>
  <c r="W65" i="4"/>
  <c r="V65" i="4"/>
  <c r="Z65" i="4"/>
  <c r="Y38" i="4"/>
  <c r="W38" i="4"/>
  <c r="X38" i="4"/>
  <c r="Z38" i="4"/>
  <c r="Z138" i="4"/>
  <c r="Y138" i="4"/>
  <c r="Y57" i="4"/>
  <c r="Z57" i="4"/>
  <c r="M2" i="4"/>
  <c r="Z21" i="4"/>
  <c r="Y21" i="4"/>
  <c r="Y137" i="4"/>
  <c r="Z137" i="4"/>
  <c r="Z98" i="4"/>
  <c r="Y98" i="4"/>
  <c r="W79" i="4"/>
  <c r="Z79" i="4"/>
  <c r="Y79" i="4"/>
  <c r="X79" i="4"/>
  <c r="Z55" i="4"/>
  <c r="Y55" i="4"/>
  <c r="Z74" i="4"/>
  <c r="Y74" i="4"/>
  <c r="U61" i="4"/>
  <c r="Z61" i="4"/>
  <c r="X61" i="4"/>
  <c r="W61" i="4"/>
  <c r="V61" i="4"/>
  <c r="Y61" i="4"/>
  <c r="Y125" i="4"/>
  <c r="Z125" i="4"/>
  <c r="Z23" i="4"/>
  <c r="Y23" i="4"/>
  <c r="Z122" i="4"/>
  <c r="Y122" i="4"/>
  <c r="X122" i="4"/>
  <c r="Z87" i="4"/>
  <c r="Y87" i="4"/>
  <c r="Y33" i="4"/>
  <c r="X33" i="4"/>
  <c r="W33" i="4"/>
  <c r="V33" i="4"/>
  <c r="Z33" i="4"/>
  <c r="U33" i="4"/>
  <c r="Z43" i="4"/>
  <c r="Y43" i="4"/>
  <c r="Y73" i="4"/>
  <c r="Z73" i="4"/>
  <c r="Z106" i="4"/>
  <c r="Y106" i="4"/>
  <c r="X106" i="4"/>
  <c r="W106" i="4"/>
  <c r="V106" i="4"/>
  <c r="Y54" i="4"/>
  <c r="X54" i="4"/>
  <c r="Z54" i="4"/>
  <c r="X136" i="4"/>
  <c r="Z136" i="4"/>
  <c r="Y136" i="4"/>
  <c r="Z50" i="4"/>
  <c r="Y50" i="4"/>
  <c r="X50" i="4"/>
  <c r="W50" i="4"/>
  <c r="Z108" i="4"/>
  <c r="X108" i="4"/>
  <c r="Y108" i="4"/>
  <c r="W108" i="4"/>
  <c r="R156" i="4"/>
  <c r="Z11" i="4"/>
  <c r="Y11" i="4"/>
  <c r="X11" i="4"/>
  <c r="V11" i="4"/>
  <c r="U11" i="4"/>
  <c r="W11" i="4"/>
  <c r="Y97" i="4"/>
  <c r="Z97" i="4"/>
  <c r="Y94" i="4"/>
  <c r="X94" i="4"/>
  <c r="Z94" i="4"/>
  <c r="Y81" i="4"/>
  <c r="X81" i="4"/>
  <c r="W81" i="4"/>
  <c r="Z81" i="4"/>
  <c r="Z36" i="4"/>
  <c r="Y36" i="4"/>
  <c r="W36" i="4"/>
  <c r="V36" i="4"/>
  <c r="X36" i="4"/>
  <c r="Z167" i="4"/>
  <c r="Y167" i="4"/>
  <c r="Z139" i="4"/>
  <c r="Y139" i="4"/>
  <c r="Z34" i="4"/>
  <c r="Y34" i="4"/>
  <c r="X34" i="4"/>
  <c r="W34" i="4"/>
  <c r="V34" i="4"/>
  <c r="W63" i="4"/>
  <c r="V63" i="4"/>
  <c r="U63" i="4"/>
  <c r="Z63" i="4"/>
  <c r="Y63" i="4"/>
  <c r="X63" i="4"/>
  <c r="Y86" i="4"/>
  <c r="Z86" i="4"/>
  <c r="R44" i="4"/>
  <c r="W39" i="4"/>
  <c r="Z39" i="4"/>
  <c r="Y39" i="4"/>
  <c r="X39" i="4"/>
  <c r="X120" i="4"/>
  <c r="W120" i="4"/>
  <c r="Z120" i="4"/>
  <c r="Y120" i="4"/>
  <c r="Z154" i="4"/>
  <c r="Y154" i="4"/>
  <c r="X154" i="4"/>
  <c r="W154" i="4"/>
  <c r="Z166" i="4"/>
  <c r="Y166" i="4"/>
  <c r="X166" i="4"/>
  <c r="Z68" i="4"/>
  <c r="Y68" i="4"/>
  <c r="W68" i="4"/>
  <c r="X68" i="4"/>
  <c r="Z168" i="4"/>
  <c r="Y168" i="4"/>
  <c r="W103" i="4"/>
  <c r="V103" i="4"/>
  <c r="U103" i="4"/>
  <c r="Z103" i="4"/>
  <c r="Y103" i="4"/>
  <c r="X103" i="4"/>
  <c r="Z107" i="4"/>
  <c r="Y107" i="4"/>
  <c r="X107" i="4"/>
  <c r="W107" i="4"/>
  <c r="Z19" i="4"/>
  <c r="Y19" i="4"/>
  <c r="X19" i="4"/>
  <c r="Y113" i="4"/>
  <c r="Z113" i="4"/>
  <c r="Z131" i="4"/>
  <c r="Y131" i="4"/>
  <c r="X131" i="4"/>
  <c r="W131" i="4"/>
  <c r="X96" i="4"/>
  <c r="Z96" i="4"/>
  <c r="Y96" i="4"/>
  <c r="Z53" i="4"/>
  <c r="X53" i="4"/>
  <c r="Y53" i="4"/>
  <c r="Z93" i="4"/>
  <c r="X93" i="4"/>
  <c r="Y93" i="4"/>
  <c r="W93" i="4"/>
  <c r="Z160" i="4"/>
  <c r="Y160" i="4"/>
  <c r="V30" i="4"/>
  <c r="U30" i="4"/>
  <c r="T30" i="4"/>
  <c r="Y30" i="4"/>
  <c r="X30" i="4"/>
  <c r="W30" i="4"/>
  <c r="Z30" i="4"/>
  <c r="P40" i="4"/>
  <c r="Z83" i="4"/>
  <c r="Y83" i="4"/>
  <c r="X83" i="4"/>
  <c r="Z42" i="4"/>
  <c r="Y42" i="4"/>
  <c r="X42" i="4"/>
  <c r="Y70" i="4"/>
  <c r="X70" i="4"/>
  <c r="Z70" i="4"/>
  <c r="V150" i="4"/>
  <c r="Z150" i="4"/>
  <c r="Y150" i="4"/>
  <c r="X150" i="4"/>
  <c r="W150" i="4"/>
  <c r="Z110" i="4"/>
  <c r="Y110" i="4"/>
  <c r="X110" i="4"/>
  <c r="X104" i="4"/>
  <c r="W104" i="4"/>
  <c r="V104" i="4"/>
  <c r="Z104" i="4"/>
  <c r="Y104" i="4"/>
  <c r="Y105" i="4"/>
  <c r="X105" i="4"/>
  <c r="W105" i="4"/>
  <c r="V105" i="4"/>
  <c r="Z105" i="4"/>
  <c r="Z146" i="4"/>
  <c r="Y146" i="4"/>
  <c r="X146" i="4"/>
  <c r="V146" i="4"/>
  <c r="W146" i="4"/>
  <c r="U146" i="4"/>
  <c r="Y169" i="4"/>
  <c r="Z169" i="4"/>
  <c r="Z135" i="4"/>
  <c r="Y135" i="4"/>
  <c r="X135" i="4"/>
  <c r="Z85" i="4"/>
  <c r="Y85" i="4"/>
  <c r="Z82" i="4"/>
  <c r="Y82" i="4"/>
  <c r="X82" i="4"/>
  <c r="Z35" i="4"/>
  <c r="Y35" i="4"/>
  <c r="X35" i="4"/>
  <c r="V35" i="4"/>
  <c r="W35" i="4"/>
  <c r="Z91" i="4"/>
  <c r="Y91" i="4"/>
  <c r="X91" i="4"/>
  <c r="W91" i="4"/>
  <c r="Z109" i="4"/>
  <c r="Y109" i="4"/>
  <c r="X109" i="4"/>
  <c r="W109" i="4"/>
  <c r="Z149" i="4"/>
  <c r="Y149" i="4"/>
  <c r="X149" i="4"/>
  <c r="W149" i="4"/>
  <c r="V149" i="4"/>
  <c r="Y153" i="4"/>
  <c r="X153" i="4"/>
  <c r="W153" i="4"/>
  <c r="Z153" i="4"/>
  <c r="T28" i="4"/>
  <c r="Z28" i="4"/>
  <c r="Y28" i="4"/>
  <c r="W28" i="4"/>
  <c r="V28" i="4"/>
  <c r="U28" i="4"/>
  <c r="X28" i="4"/>
  <c r="R105" i="4"/>
  <c r="R167" i="4"/>
  <c r="P109" i="4"/>
  <c r="P35" i="4"/>
  <c r="P75" i="4"/>
  <c r="P29" i="4"/>
  <c r="R71" i="4"/>
  <c r="P61" i="4"/>
  <c r="P117" i="4"/>
  <c r="P102" i="4"/>
  <c r="R91" i="4"/>
  <c r="P122" i="4"/>
  <c r="R151" i="4"/>
  <c r="R60" i="4"/>
  <c r="R121" i="4"/>
  <c r="P28" i="4"/>
  <c r="R19" i="4"/>
  <c r="R123" i="4"/>
  <c r="P42" i="4"/>
  <c r="R116" i="4"/>
  <c r="R114" i="4"/>
  <c r="R55" i="4"/>
  <c r="N85" i="4"/>
  <c r="P85" i="4" s="1"/>
  <c r="O12" i="4"/>
  <c r="N129" i="4"/>
  <c r="P129" i="4" s="1"/>
  <c r="O98" i="4"/>
  <c r="O171" i="4"/>
  <c r="N154" i="4"/>
  <c r="P154" i="4" s="1"/>
  <c r="O163" i="4"/>
  <c r="N106" i="4"/>
  <c r="P106" i="4" s="1"/>
  <c r="O83" i="4"/>
  <c r="N171" i="4"/>
  <c r="P171" i="4" s="1"/>
  <c r="O110" i="4"/>
  <c r="O117" i="4"/>
  <c r="O118" i="4"/>
  <c r="O127" i="4"/>
  <c r="N48" i="4"/>
  <c r="P48" i="4" s="1"/>
  <c r="N134" i="4"/>
  <c r="P134" i="4" s="1"/>
  <c r="N89" i="4"/>
  <c r="P89" i="4" s="1"/>
  <c r="O41" i="4"/>
  <c r="N82" i="4"/>
  <c r="N92" i="4"/>
  <c r="P92" i="4" s="1"/>
  <c r="O155" i="4"/>
  <c r="N142" i="4"/>
  <c r="P142" i="4" s="1"/>
  <c r="N59" i="4"/>
  <c r="P59" i="4" s="1"/>
  <c r="N130" i="4"/>
  <c r="P130" i="4" s="1"/>
  <c r="O76" i="4"/>
  <c r="O99" i="4"/>
  <c r="N156" i="4"/>
  <c r="P156" i="4" s="1"/>
  <c r="N93" i="4"/>
  <c r="N18" i="4"/>
  <c r="P18" i="4" s="1"/>
  <c r="N141" i="4"/>
  <c r="P141" i="4" s="1"/>
  <c r="O141" i="4"/>
  <c r="O121" i="4"/>
  <c r="O149" i="4"/>
  <c r="O170" i="4"/>
  <c r="O156" i="4"/>
  <c r="O44" i="4"/>
  <c r="N105" i="4"/>
  <c r="N45" i="4"/>
  <c r="P45" i="4" s="1"/>
  <c r="N46" i="4"/>
  <c r="P46" i="4" s="1"/>
  <c r="O45" i="4"/>
  <c r="O133" i="4"/>
  <c r="O46" i="4"/>
  <c r="O52" i="4"/>
  <c r="N103" i="4"/>
  <c r="P103" i="4" s="1"/>
  <c r="O164" i="4"/>
  <c r="O68" i="4"/>
  <c r="N83" i="4"/>
  <c r="P83" i="4" s="1"/>
  <c r="O148" i="4"/>
  <c r="N7" i="4"/>
  <c r="P7" i="4" s="1"/>
  <c r="O106" i="4"/>
  <c r="O22" i="4"/>
  <c r="O129" i="4"/>
  <c r="O86" i="4"/>
  <c r="O147" i="4"/>
  <c r="N132" i="4"/>
  <c r="P132" i="4" s="1"/>
  <c r="N43" i="4"/>
  <c r="P43" i="4" s="1"/>
  <c r="O143" i="4"/>
  <c r="N108" i="4"/>
  <c r="P108" i="4" s="1"/>
  <c r="N113" i="4"/>
  <c r="P113" i="4" s="1"/>
  <c r="O56" i="4"/>
  <c r="N119" i="4"/>
  <c r="P119" i="4" s="1"/>
  <c r="N140" i="4"/>
  <c r="N62" i="4"/>
  <c r="N97" i="4"/>
  <c r="P97" i="4" s="1"/>
  <c r="O91" i="4"/>
  <c r="O23" i="4"/>
  <c r="N149" i="4"/>
  <c r="P149" i="4" s="1"/>
  <c r="N115" i="4"/>
  <c r="O71" i="4"/>
  <c r="O115" i="4"/>
  <c r="O161" i="4"/>
  <c r="N88" i="4"/>
  <c r="N65" i="4"/>
  <c r="O14" i="4"/>
  <c r="N157" i="4"/>
  <c r="P157" i="4" s="1"/>
  <c r="N133" i="4"/>
  <c r="P133" i="4" s="1"/>
  <c r="N165" i="4"/>
  <c r="P165" i="4" s="1"/>
  <c r="O5" i="4"/>
  <c r="O165" i="4"/>
  <c r="N26" i="4"/>
  <c r="P26" i="4" s="1"/>
  <c r="N67" i="4"/>
  <c r="P67" i="4" s="1"/>
  <c r="N31" i="4"/>
  <c r="P31" i="4" s="1"/>
  <c r="N54" i="4"/>
  <c r="P54" i="4" s="1"/>
  <c r="N38" i="4"/>
  <c r="P38" i="4" s="1"/>
  <c r="O169" i="4"/>
  <c r="O139" i="4"/>
  <c r="N21" i="4"/>
  <c r="P21" i="4" s="1"/>
  <c r="O146" i="4"/>
  <c r="N68" i="4"/>
  <c r="P68" i="4" s="1"/>
  <c r="O134" i="4"/>
  <c r="O85" i="4"/>
  <c r="O107" i="4"/>
  <c r="N8" i="4"/>
  <c r="P8" i="4" s="1"/>
  <c r="O72" i="4"/>
  <c r="O100" i="4"/>
  <c r="N50" i="4"/>
  <c r="P50" i="4" s="1"/>
  <c r="R119" i="4"/>
  <c r="O131" i="4"/>
  <c r="N11" i="4"/>
  <c r="P11" i="4" s="1"/>
  <c r="N80" i="4"/>
  <c r="O105" i="4"/>
  <c r="N81" i="4"/>
  <c r="P81" i="4" s="1"/>
  <c r="O160" i="4"/>
  <c r="O128" i="4"/>
  <c r="O20" i="4"/>
  <c r="O151" i="4"/>
  <c r="N94" i="4"/>
  <c r="O88" i="4"/>
  <c r="O32" i="4"/>
  <c r="O37" i="4"/>
  <c r="N25" i="4"/>
  <c r="P25" i="4" s="1"/>
  <c r="O157" i="4"/>
  <c r="N5" i="4"/>
  <c r="O26" i="4"/>
  <c r="O9" i="4"/>
  <c r="N77" i="4"/>
  <c r="P77" i="4" s="1"/>
  <c r="N110" i="4"/>
  <c r="P110" i="4" s="1"/>
  <c r="N52" i="4"/>
  <c r="P52" i="4" s="1"/>
  <c r="O103" i="4"/>
  <c r="N10" i="4"/>
  <c r="P10" i="4" s="1"/>
  <c r="N104" i="4"/>
  <c r="P104" i="4" s="1"/>
  <c r="N34" i="4"/>
  <c r="P34" i="4" s="1"/>
  <c r="O34" i="4"/>
  <c r="O10" i="4"/>
  <c r="O67" i="4"/>
  <c r="N22" i="4"/>
  <c r="P22" i="4" s="1"/>
  <c r="O136" i="4"/>
  <c r="N49" i="4"/>
  <c r="P49" i="4" s="1"/>
  <c r="N47" i="4"/>
  <c r="P47" i="4" s="1"/>
  <c r="N27" i="4"/>
  <c r="P27" i="4" s="1"/>
  <c r="O33" i="4"/>
  <c r="O130" i="4"/>
  <c r="N58" i="4"/>
  <c r="N153" i="4"/>
  <c r="P153" i="4" s="1"/>
  <c r="O60" i="4"/>
  <c r="N96" i="4"/>
  <c r="P96" i="4" s="1"/>
  <c r="N160" i="4"/>
  <c r="R149" i="4"/>
  <c r="N20" i="4"/>
  <c r="P20" i="4" s="1"/>
  <c r="O112" i="4"/>
  <c r="N23" i="4"/>
  <c r="O124" i="4"/>
  <c r="O87" i="4"/>
  <c r="O116" i="4"/>
  <c r="O159" i="4"/>
  <c r="N131" i="4"/>
  <c r="O65" i="4"/>
  <c r="N91" i="4"/>
  <c r="O69" i="4"/>
  <c r="N101" i="4"/>
  <c r="P101" i="4" s="1"/>
  <c r="N16" i="4"/>
  <c r="P16" i="4" s="1"/>
  <c r="O39" i="4"/>
  <c r="O79" i="4"/>
  <c r="O49" i="4"/>
  <c r="N107" i="4"/>
  <c r="P107" i="4" s="1"/>
  <c r="O15" i="4"/>
  <c r="O137" i="4"/>
  <c r="O31" i="4"/>
  <c r="O104" i="4"/>
  <c r="O51" i="4"/>
  <c r="O6" i="4"/>
  <c r="N66" i="4"/>
  <c r="P66" i="4" s="1"/>
  <c r="O64" i="4"/>
  <c r="O8" i="4"/>
  <c r="N64" i="4"/>
  <c r="P64" i="4" s="1"/>
  <c r="N72" i="4"/>
  <c r="P72" i="4" s="1"/>
  <c r="N84" i="4"/>
  <c r="P84" i="4" s="1"/>
  <c r="N41" i="4"/>
  <c r="P41" i="4" s="1"/>
  <c r="O57" i="4"/>
  <c r="O102" i="4"/>
  <c r="N63" i="4"/>
  <c r="N19" i="4"/>
  <c r="P19" i="4" s="1"/>
  <c r="O95" i="4"/>
  <c r="N121" i="4"/>
  <c r="P121" i="4" s="1"/>
  <c r="N99" i="4"/>
  <c r="P99" i="4" s="1"/>
  <c r="N74" i="4"/>
  <c r="P74" i="4" s="1"/>
  <c r="O35" i="4"/>
  <c r="N127" i="4"/>
  <c r="P127" i="4" s="1"/>
  <c r="O62" i="4"/>
  <c r="O138" i="4"/>
  <c r="O18" i="4"/>
  <c r="O36" i="4"/>
  <c r="N53" i="4"/>
  <c r="N128" i="4"/>
  <c r="P128" i="4" s="1"/>
  <c r="N33" i="4"/>
  <c r="P33" i="4" s="1"/>
  <c r="N151" i="4"/>
  <c r="P151" i="4" s="1"/>
  <c r="O80" i="4"/>
  <c r="O140" i="4"/>
  <c r="O111" i="4"/>
  <c r="N159" i="4"/>
  <c r="P159" i="4" s="1"/>
  <c r="N69" i="4"/>
  <c r="P69" i="4" s="1"/>
  <c r="N32" i="4"/>
  <c r="P32" i="4" s="1"/>
  <c r="N9" i="4"/>
  <c r="P9" i="4" s="1"/>
  <c r="O101" i="4"/>
  <c r="O16" i="4"/>
  <c r="O77" i="4"/>
  <c r="N86" i="4"/>
  <c r="P86" i="4" s="1"/>
  <c r="O135" i="4"/>
  <c r="O21" i="4"/>
  <c r="N139" i="4"/>
  <c r="P139" i="4" s="1"/>
  <c r="O38" i="4"/>
  <c r="O144" i="4"/>
  <c r="O152" i="4"/>
  <c r="O17" i="4"/>
  <c r="N70" i="4"/>
  <c r="P70" i="4" s="1"/>
  <c r="O89" i="4"/>
  <c r="N144" i="4"/>
  <c r="P144" i="4" s="1"/>
  <c r="O142" i="4"/>
  <c r="O132" i="4"/>
  <c r="O75" i="4"/>
  <c r="O119" i="4"/>
  <c r="O113" i="4"/>
  <c r="N57" i="4"/>
  <c r="P57" i="4" s="1"/>
  <c r="O153" i="4"/>
  <c r="N56" i="4"/>
  <c r="P56" i="4" s="1"/>
  <c r="N125" i="4"/>
  <c r="P125" i="4" s="1"/>
  <c r="O53" i="4"/>
  <c r="N112" i="4"/>
  <c r="P112" i="4" s="1"/>
  <c r="O122" i="4"/>
  <c r="N124" i="4"/>
  <c r="P124" i="4" s="1"/>
  <c r="N145" i="4"/>
  <c r="P145" i="4" s="1"/>
  <c r="O172" i="4"/>
  <c r="O78" i="4"/>
  <c r="N78" i="4"/>
  <c r="O28" i="4"/>
  <c r="O66" i="4"/>
  <c r="N120" i="4"/>
  <c r="P120" i="4" s="1"/>
  <c r="N152" i="4"/>
  <c r="P152" i="4" s="1"/>
  <c r="O166" i="4"/>
  <c r="N126" i="4"/>
  <c r="P126" i="4" s="1"/>
  <c r="O54" i="4"/>
  <c r="N136" i="4"/>
  <c r="P136" i="4" s="1"/>
  <c r="N164" i="4"/>
  <c r="P164" i="4" s="1"/>
  <c r="N168" i="4"/>
  <c r="P168" i="4" s="1"/>
  <c r="O158" i="4"/>
  <c r="O154" i="4"/>
  <c r="N100" i="4"/>
  <c r="P100" i="4" s="1"/>
  <c r="O43" i="4"/>
  <c r="N138" i="4"/>
  <c r="P138" i="4" s="1"/>
  <c r="N123" i="4"/>
  <c r="P123" i="4" s="1"/>
  <c r="N147" i="4"/>
  <c r="P147" i="4" s="1"/>
  <c r="O59" i="4"/>
  <c r="N146" i="4"/>
  <c r="P146" i="4" s="1"/>
  <c r="O114" i="4"/>
  <c r="N30" i="4"/>
  <c r="P30" i="4" s="1"/>
  <c r="O96" i="4"/>
  <c r="N36" i="4"/>
  <c r="N161" i="4"/>
  <c r="P161" i="4" s="1"/>
  <c r="N116" i="4"/>
  <c r="N167" i="4"/>
  <c r="O73" i="4"/>
  <c r="O25" i="4"/>
  <c r="N14" i="4"/>
  <c r="P14" i="4" s="1"/>
  <c r="N37" i="4"/>
  <c r="P37" i="4" s="1"/>
  <c r="N162" i="4"/>
  <c r="P162" i="4" s="1"/>
  <c r="N15" i="4"/>
  <c r="P15" i="4" s="1"/>
  <c r="N166" i="4"/>
  <c r="P166" i="4" s="1"/>
  <c r="N163" i="4"/>
  <c r="P163" i="4" s="1"/>
  <c r="O120" i="4"/>
  <c r="N98" i="4"/>
  <c r="P98" i="4" s="1"/>
  <c r="N17" i="4"/>
  <c r="P17" i="4" s="1"/>
  <c r="N118" i="4"/>
  <c r="P118" i="4" s="1"/>
  <c r="O70" i="4"/>
  <c r="N148" i="4"/>
  <c r="P148" i="4" s="1"/>
  <c r="O162" i="4"/>
  <c r="N6" i="4"/>
  <c r="P6" i="4" s="1"/>
  <c r="O168" i="4"/>
  <c r="O84" i="4"/>
  <c r="O7" i="4"/>
  <c r="N150" i="4"/>
  <c r="P150" i="4" s="1"/>
  <c r="O27" i="4"/>
  <c r="N143" i="4"/>
  <c r="P143" i="4" s="1"/>
  <c r="N76" i="4"/>
  <c r="P76" i="4" s="1"/>
  <c r="O58" i="4"/>
  <c r="N90" i="4"/>
  <c r="P90" i="4" s="1"/>
  <c r="N95" i="4"/>
  <c r="P95" i="4" s="1"/>
  <c r="O123" i="4"/>
  <c r="N73" i="4"/>
  <c r="P73" i="4" s="1"/>
  <c r="N55" i="4"/>
  <c r="P55" i="4" s="1"/>
  <c r="O42" i="4"/>
  <c r="O24" i="4"/>
  <c r="N24" i="4"/>
  <c r="O13" i="4"/>
  <c r="N114" i="4"/>
  <c r="O97" i="4"/>
  <c r="N60" i="4"/>
  <c r="P60" i="4" s="1"/>
  <c r="O92" i="4"/>
  <c r="O81" i="4"/>
  <c r="O40" i="4"/>
  <c r="N71" i="4"/>
  <c r="O29" i="4"/>
  <c r="N170" i="4"/>
  <c r="R153" i="4"/>
  <c r="R150" i="4"/>
  <c r="R124" i="4"/>
  <c r="R81" i="4"/>
  <c r="R18" i="4"/>
  <c r="R145" i="4"/>
  <c r="R24" i="4"/>
  <c r="R143" i="4"/>
  <c r="R20" i="4"/>
  <c r="R30" i="4"/>
  <c r="R53" i="4"/>
  <c r="R80" i="4"/>
  <c r="R62" i="4"/>
  <c r="R11" i="4"/>
  <c r="R63" i="4"/>
  <c r="R92" i="4"/>
  <c r="R58" i="4"/>
  <c r="R27" i="4"/>
  <c r="R64" i="4"/>
  <c r="R161" i="4"/>
  <c r="R33" i="4"/>
  <c r="R97" i="4"/>
  <c r="R56" i="4"/>
  <c r="R160" i="4"/>
  <c r="R94" i="4"/>
  <c r="R141" i="4"/>
  <c r="R93" i="4"/>
  <c r="R96" i="4"/>
  <c r="R127" i="4"/>
  <c r="R134" i="4"/>
  <c r="R147" i="4"/>
  <c r="R36" i="4"/>
  <c r="R76" i="4"/>
  <c r="R130" i="4"/>
  <c r="R59" i="4"/>
  <c r="R142" i="4"/>
  <c r="R146" i="4"/>
  <c r="R82" i="4"/>
  <c r="R144" i="4"/>
  <c r="R125" i="4"/>
  <c r="R132" i="4"/>
  <c r="R90" i="4"/>
  <c r="R89" i="4"/>
  <c r="R128" i="4"/>
  <c r="R95" i="4"/>
  <c r="R73" i="4"/>
  <c r="R112" i="4"/>
  <c r="R50" i="4"/>
  <c r="R138" i="4"/>
  <c r="R66" i="4"/>
  <c r="R72" i="4"/>
  <c r="R74" i="4"/>
  <c r="R43" i="4"/>
  <c r="R108" i="4"/>
  <c r="R17" i="4"/>
  <c r="R41" i="4"/>
  <c r="R113" i="4"/>
  <c r="R99" i="4"/>
  <c r="R84" i="4"/>
  <c r="R100" i="4"/>
  <c r="R136" i="4"/>
  <c r="R126" i="4"/>
  <c r="R6" i="4"/>
  <c r="R48" i="4"/>
  <c r="R22" i="4"/>
  <c r="R47" i="4"/>
  <c r="M173" i="4"/>
  <c r="M176" i="4" s="1"/>
  <c r="R8" i="4"/>
  <c r="R118" i="4"/>
  <c r="N158" i="4"/>
  <c r="R139" i="4"/>
  <c r="Q171" i="4"/>
  <c r="R171" i="4" s="1"/>
  <c r="Q168" i="4"/>
  <c r="R168" i="4" s="1"/>
  <c r="Q21" i="4"/>
  <c r="R21" i="4" s="1"/>
  <c r="N12" i="4"/>
  <c r="N137" i="4"/>
  <c r="R68" i="4"/>
  <c r="Q49" i="4"/>
  <c r="R49" i="4" s="1"/>
  <c r="Q117" i="4"/>
  <c r="R117" i="4" s="1"/>
  <c r="N39" i="4"/>
  <c r="N51" i="4"/>
  <c r="Q148" i="4"/>
  <c r="R148" i="4" s="1"/>
  <c r="Q164" i="4"/>
  <c r="R164" i="4" s="1"/>
  <c r="Q70" i="4"/>
  <c r="Q98" i="4"/>
  <c r="R98" i="4" s="1"/>
  <c r="N169" i="4"/>
  <c r="N79" i="4"/>
  <c r="N135" i="4"/>
  <c r="R34" i="4"/>
  <c r="R10" i="4"/>
  <c r="R85" i="4"/>
  <c r="R104" i="4"/>
  <c r="R169" i="4"/>
  <c r="R86" i="4"/>
  <c r="R51" i="4"/>
  <c r="R39" i="4"/>
  <c r="R77" i="4"/>
  <c r="R152" i="4"/>
  <c r="R54" i="4"/>
  <c r="R163" i="4"/>
  <c r="R137" i="4"/>
  <c r="R103" i="4"/>
  <c r="R45" i="4"/>
  <c r="R16" i="4"/>
  <c r="R38" i="4"/>
  <c r="R120" i="4"/>
  <c r="R31" i="4"/>
  <c r="R162" i="4"/>
  <c r="R15" i="4"/>
  <c r="R67" i="4"/>
  <c r="R107" i="4"/>
  <c r="R135" i="4"/>
  <c r="R165" i="4"/>
  <c r="R83" i="4"/>
  <c r="R158" i="4"/>
  <c r="R12" i="4"/>
  <c r="R166" i="4"/>
  <c r="R110" i="4"/>
  <c r="R7" i="4"/>
  <c r="R106" i="4"/>
  <c r="R69" i="4"/>
  <c r="R52" i="4"/>
  <c r="R154" i="4"/>
  <c r="R129" i="4"/>
  <c r="R79" i="4"/>
  <c r="R46" i="4"/>
  <c r="R26" i="4"/>
  <c r="R9" i="4"/>
  <c r="R5" i="4"/>
  <c r="R25" i="4"/>
  <c r="R32" i="4"/>
  <c r="R101" i="4"/>
  <c r="R37" i="4"/>
  <c r="R14" i="4"/>
  <c r="R133" i="4"/>
  <c r="R157" i="4"/>
  <c r="P5" i="4" l="1"/>
  <c r="O173" i="4"/>
  <c r="P53" i="4"/>
  <c r="P114" i="4"/>
  <c r="P94" i="4"/>
  <c r="P24" i="4"/>
  <c r="P115" i="4"/>
  <c r="P140" i="4"/>
  <c r="P167" i="4"/>
  <c r="P36" i="4"/>
  <c r="P78" i="4"/>
  <c r="P23" i="4"/>
  <c r="P170" i="4"/>
  <c r="P131" i="4"/>
  <c r="P58" i="4"/>
  <c r="P105" i="4"/>
  <c r="P93" i="4"/>
  <c r="P116" i="4"/>
  <c r="P160" i="4"/>
  <c r="P65" i="4"/>
  <c r="P82" i="4"/>
  <c r="P71" i="4"/>
  <c r="P80" i="4"/>
  <c r="P62" i="4"/>
  <c r="P63" i="4"/>
  <c r="P91" i="4"/>
  <c r="P88" i="4"/>
  <c r="P135" i="4"/>
  <c r="P39" i="4"/>
  <c r="P51" i="4"/>
  <c r="P79" i="4"/>
  <c r="P169" i="4"/>
  <c r="P137" i="4"/>
  <c r="P158" i="4"/>
  <c r="Q173" i="4"/>
  <c r="N173" i="4"/>
  <c r="R70" i="4"/>
  <c r="R173" i="4" s="1"/>
  <c r="P12" i="4"/>
  <c r="C11" i="6" l="1" a="1"/>
  <c r="C11" i="6" s="1"/>
  <c r="B10" i="6" a="1"/>
  <c r="B10" i="6" s="1"/>
  <c r="C12" i="6" a="1"/>
  <c r="C12" i="6" s="1"/>
  <c r="E10" i="6" a="1"/>
  <c r="E10" i="6" s="1"/>
  <c r="D9" i="6" a="1"/>
  <c r="D9" i="6" s="1"/>
  <c r="D12" i="6" a="1"/>
  <c r="D12" i="6" s="1"/>
  <c r="E11" i="6" a="1"/>
  <c r="E11" i="6" s="1"/>
  <c r="D8" i="6" a="1"/>
  <c r="D8" i="6" s="1"/>
  <c r="F11" i="6" a="1"/>
  <c r="F11" i="6" s="1"/>
  <c r="D7" i="6" a="1"/>
  <c r="D7" i="6" s="1"/>
  <c r="B9" i="6" a="1"/>
  <c r="B9" i="6" s="1"/>
  <c r="C8" i="6" a="1"/>
  <c r="C8" i="6" s="1"/>
  <c r="B7" i="6" a="1"/>
  <c r="B7" i="6" s="1"/>
  <c r="F10" i="6" a="1"/>
  <c r="F10" i="6" s="1"/>
  <c r="G11" i="6" a="1"/>
  <c r="G11" i="6" s="1"/>
  <c r="C10" i="6" a="1"/>
  <c r="C10" i="6" s="1"/>
  <c r="D11" i="6" a="1"/>
  <c r="D11" i="6" s="1"/>
  <c r="D10" i="6" a="1"/>
  <c r="D10" i="6" s="1"/>
  <c r="F9" i="6" a="1"/>
  <c r="F9" i="6" s="1"/>
  <c r="F12" i="6" a="1"/>
  <c r="F12" i="6" s="1"/>
  <c r="G9" i="6" a="1"/>
  <c r="G9" i="6" s="1"/>
  <c r="G7" i="6" a="1"/>
  <c r="G7" i="6" s="1"/>
  <c r="C7" i="6" a="1"/>
  <c r="C7" i="6" s="1"/>
  <c r="G12" i="6" a="1"/>
  <c r="G12" i="6" s="1"/>
  <c r="B12" i="6" a="1"/>
  <c r="B12" i="6" s="1"/>
  <c r="E7" i="6" a="1"/>
  <c r="E7" i="6" s="1"/>
  <c r="F7" i="6" a="1"/>
  <c r="F7" i="6" s="1"/>
  <c r="E12" i="6" a="1"/>
  <c r="E12" i="6" s="1"/>
  <c r="F8" i="6" a="1"/>
  <c r="F8" i="6" s="1"/>
  <c r="E8" i="6" a="1"/>
  <c r="E8" i="6" s="1"/>
  <c r="G8" i="6" a="1"/>
  <c r="G8" i="6" s="1"/>
  <c r="B8" i="6" a="1"/>
  <c r="B8" i="6" s="1"/>
  <c r="E9" i="6" a="1"/>
  <c r="E9" i="6" s="1"/>
  <c r="G10" i="6" a="1"/>
  <c r="G10" i="6" s="1"/>
  <c r="B11" i="6" a="1"/>
  <c r="B11" i="6" s="1"/>
  <c r="C9" i="6" a="1"/>
  <c r="C9" i="6" s="1"/>
  <c r="P17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<sst xmlns="http://schemas.openxmlformats.org/spreadsheetml/2006/main" count="701" uniqueCount="90">
  <si>
    <t>startDade</t>
  </si>
  <si>
    <t>amount</t>
  </si>
  <si>
    <t>ענפים מרכזים</t>
  </si>
  <si>
    <t>ענפי משנה</t>
  </si>
  <si>
    <t>ענף מרכז</t>
  </si>
  <si>
    <t>רכב חובה</t>
  </si>
  <si>
    <t>משאיות חובה</t>
  </si>
  <si>
    <t>רכב רכוש</t>
  </si>
  <si>
    <t>משאיות רכוש</t>
  </si>
  <si>
    <t>דירות</t>
  </si>
  <si>
    <t>בתי עסק</t>
  </si>
  <si>
    <t>אחוז עמלות סוכנים</t>
  </si>
  <si>
    <t>אחוז ביטוח משנה</t>
  </si>
  <si>
    <t>אחוז עמלת משנה</t>
  </si>
  <si>
    <t>אחוז LR</t>
  </si>
  <si>
    <t>שנת</t>
  </si>
  <si>
    <t>תחזית הנהלה וכלליות</t>
  </si>
  <si>
    <t>חלוקה לרבעונים 25%</t>
  </si>
  <si>
    <t>חלוקה לענפים לפי יחס פרמיה</t>
  </si>
  <si>
    <t>לתאריך UPR</t>
  </si>
  <si>
    <t>הוצאות לשנת 2025</t>
  </si>
  <si>
    <t>הוצאות לשנת 2026</t>
  </si>
  <si>
    <t>חלוקת הוצאות</t>
  </si>
  <si>
    <t>רכישה ושיווק</t>
  </si>
  <si>
    <t>פרמיון XOL  הערה</t>
  </si>
  <si>
    <t xml:space="preserve">לשנה </t>
  </si>
  <si>
    <t>לרבעון</t>
  </si>
  <si>
    <t>תביעות</t>
  </si>
  <si>
    <t>חלוקה</t>
  </si>
  <si>
    <t>אחר</t>
  </si>
  <si>
    <t>חובה פרטי</t>
  </si>
  <si>
    <t>חובה משאיות</t>
  </si>
  <si>
    <t>חודש יחוס - חודש UPR</t>
  </si>
  <si>
    <t>שנה</t>
  </si>
  <si>
    <t>הערכת החנסות מהשקעות</t>
  </si>
  <si>
    <t>רבעון</t>
  </si>
  <si>
    <t>תשואה לשה</t>
  </si>
  <si>
    <t>חלוקה בהתאם לפרמיה בשייר</t>
  </si>
  <si>
    <t>תאריך</t>
  </si>
  <si>
    <t>חודש</t>
  </si>
  <si>
    <t>יום סוף חודש</t>
  </si>
  <si>
    <t>כותרת הדוח</t>
  </si>
  <si>
    <t xml:space="preserve">דוח עסקי ביטוח </t>
  </si>
  <si>
    <t>כותרות הדוח</t>
  </si>
  <si>
    <t>כותר\ת</t>
  </si>
  <si>
    <t>מצטבר ליום 31 במרץ</t>
  </si>
  <si>
    <t>מצטבר ליום 30 ביוני</t>
  </si>
  <si>
    <t>מצטבר ליום 30  בספטמבר</t>
  </si>
  <si>
    <t>מצטבר ליום 31 בדצמבר</t>
  </si>
  <si>
    <t>הוצאות</t>
  </si>
  <si>
    <t>הוצאות מימון</t>
  </si>
  <si>
    <t xml:space="preserve">חובה </t>
  </si>
  <si>
    <t xml:space="preserve">קסקו מקיף </t>
  </si>
  <si>
    <t xml:space="preserve">קסקו צד ג </t>
  </si>
  <si>
    <t xml:space="preserve">חובה משאיות </t>
  </si>
  <si>
    <t xml:space="preserve">חובה נגררים </t>
  </si>
  <si>
    <t>חובה אוטובוסים</t>
  </si>
  <si>
    <t xml:space="preserve">קסקו משאיות  </t>
  </si>
  <si>
    <t xml:space="preserve">קסקו נגררים </t>
  </si>
  <si>
    <t xml:space="preserve">דירות </t>
  </si>
  <si>
    <t>צמה</t>
  </si>
  <si>
    <t>עמלות סוכנים</t>
  </si>
  <si>
    <t>year</t>
  </si>
  <si>
    <t>quarterly</t>
  </si>
  <si>
    <t>סה"כ פרמיה</t>
  </si>
  <si>
    <t>מרכז</t>
  </si>
  <si>
    <t>תחילת ביטוח</t>
  </si>
  <si>
    <t>ענף</t>
  </si>
  <si>
    <t>ענף משנה</t>
  </si>
  <si>
    <t xml:space="preserve"> ביטוח משנה</t>
  </si>
  <si>
    <t>עמלה משנה</t>
  </si>
  <si>
    <t>פרמיה ברוטו</t>
  </si>
  <si>
    <t>פרמיה משנה</t>
  </si>
  <si>
    <t>עמלה ברוטו</t>
  </si>
  <si>
    <t>תביעות ברוטו</t>
  </si>
  <si>
    <t>תביעות משנה</t>
  </si>
  <si>
    <t>endDate</t>
  </si>
  <si>
    <t>חלק קרנית בחובה</t>
  </si>
  <si>
    <t>נתוני בסיס</t>
  </si>
  <si>
    <t>פרמטרים לחישוב</t>
  </si>
  <si>
    <t>נתונים לתחזית</t>
  </si>
  <si>
    <t>יתרת ימי ביטוח עתודה</t>
  </si>
  <si>
    <t>חישוב UPR</t>
  </si>
  <si>
    <t>פרמיה בפרודוקציה</t>
  </si>
  <si>
    <t>פרמיה ללא קרנית</t>
  </si>
  <si>
    <t>מצטבר לרבעון</t>
  </si>
  <si>
    <t>טןןח M5  עד R100</t>
  </si>
  <si>
    <t>M4-R4</t>
  </si>
  <si>
    <t>A5- A100</t>
  </si>
  <si>
    <t>C5-C100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</si>
</sst>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7" fontId="0" fillId="0" borderId="0" xfId="0" applyNumberFormat="1"/>
    <xf numFmtId="164" fontId="0" fillId="0" borderId="0" xfId="1" applyNumberFormat="1" applyFont="1"/>
    <xf numFmtId="0" fontId="3" fillId="0" borderId="0" xfId="0" applyFont="1"/>
    <xf numFmtId="0" fontId="3" fillId="0" borderId="1" xfId="0" applyFont="1" applyBorder="1"/>
    <xf numFmtId="10" fontId="0" fillId="0" borderId="0" xfId="2" applyNumberFormat="1" applyFont="1"/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164" fontId="2" fillId="0" borderId="0" xfId="1" applyNumberFormat="1" applyFont="1" applyAlignment="1">
      <alignment horizontal="right"/>
    </xf>
    <xf numFmtId="43" fontId="0" fillId="0" borderId="0" xfId="1" applyFont="1"/>
    <xf numFmtId="14" fontId="0" fillId="0" borderId="0" xfId="1" applyNumberFormat="1" applyFont="1"/>
    <xf numFmtId="17" fontId="0" fillId="2" borderId="0" xfId="0" applyNumberFormat="1" applyFill="1"/>
    <xf numFmtId="43" fontId="0" fillId="2" borderId="0" xfId="0" applyNumberFormat="1" applyFill="1"/>
    <xf numFmtId="43" fontId="0" fillId="0" borderId="0" xfId="0" applyNumberFormat="1"/>
    <xf numFmtId="0" fontId="0" fillId="3" borderId="0" xfId="0" applyFill="1"/>
    <xf numFmtId="164" fontId="4" fillId="0" borderId="0" xfId="1" applyNumberFormat="1" applyFont="1" applyAlignment="1">
      <alignment horizontal="right"/>
    </xf>
    <xf numFmtId="164" fontId="4" fillId="0" borderId="0" xfId="1" applyNumberFormat="1" applyFont="1" applyFill="1" applyAlignment="1">
      <alignment horizontal="right"/>
    </xf>
    <xf numFmtId="0" fontId="4" fillId="0" borderId="0" xfId="0" applyFont="1"/>
    <xf numFmtId="10" fontId="0" fillId="4" borderId="0" xfId="2" applyNumberFormat="1" applyFont="1" applyFill="1"/>
    <xf numFmtId="10" fontId="4" fillId="4" borderId="0" xfId="2" applyNumberFormat="1" applyFont="1" applyFill="1" applyAlignment="1">
      <alignment horizontal="right"/>
    </xf>
    <xf numFmtId="164" fontId="4" fillId="4" borderId="0" xfId="1" applyNumberFormat="1" applyFont="1" applyFill="1" applyAlignment="1">
      <alignment horizontal="right"/>
    </xf>
    <xf numFmtId="164" fontId="4" fillId="5" borderId="0" xfId="1" applyNumberFormat="1" applyFont="1" applyFill="1" applyAlignment="1">
      <alignment horizontal="right"/>
    </xf>
    <xf numFmtId="10" fontId="4" fillId="5" borderId="0" xfId="2" applyNumberFormat="1" applyFont="1" applyFill="1" applyAlignment="1">
      <alignment horizontal="right"/>
    </xf>
    <xf numFmtId="10" fontId="4" fillId="5" borderId="0" xfId="2" applyNumberFormat="1" applyFont="1" applyFill="1"/>
    <xf numFmtId="9" fontId="4" fillId="5" borderId="0" xfId="2" applyFont="1" applyFill="1" applyAlignment="1">
      <alignment horizontal="right"/>
    </xf>
    <xf numFmtId="0" fontId="4" fillId="4" borderId="0" xfId="1" applyNumberFormat="1" applyFont="1" applyFill="1" applyAlignment="1">
      <alignment horizontal="right"/>
    </xf>
    <xf numFmtId="0" fontId="0" fillId="5" borderId="0" xfId="0" applyFill="1"/>
    <xf numFmtId="9" fontId="4" fillId="4" borderId="0" xfId="2" applyFont="1" applyFill="1" applyAlignment="1">
      <alignment horizontal="right"/>
    </xf>
    <xf numFmtId="0" fontId="0" fillId="0" borderId="2" xfId="0" applyBorder="1"/>
    <xf numFmtId="0" fontId="0" fillId="0" borderId="0" xfId="1" applyNumberFormat="1" applyFont="1"/>
    <xf numFmtId="0" fontId="0" fillId="0" borderId="0" xfId="0" applyNumberFormat="1"/>
    <xf numFmtId="0" fontId="0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E58-D071-4CFB-8A73-3C9C1D3FE7AE}">
  <dimension ref="A1:Q55"/>
  <sheetViews>
    <sheetView rightToLeft="1" tabSelected="1" topLeftCell="B1" workbookViewId="0">
      <selection activeCell="M2" sqref="M2"/>
    </sheetView>
  </sheetViews>
  <sheetFormatPr defaultRowHeight="14.25" x14ac:dyDescent="0.2"/>
  <cols>
    <col min="1" max="1" width="21.25" customWidth="1"/>
    <col min="2" max="2" width="12" customWidth="1"/>
    <col min="3" max="3" width="9.875" bestFit="1" customWidth="1"/>
    <col min="7" max="7" width="17.25" customWidth="1"/>
    <col min="8" max="8" width="9.875" bestFit="1" customWidth="1"/>
    <col min="9" max="9" width="11.5" customWidth="1"/>
    <col min="11" max="11" width="12.625" customWidth="1"/>
  </cols>
  <sheetData>
    <row r="1" spans="1:13" ht="15" x14ac:dyDescent="0.25">
      <c r="A1" s="3"/>
      <c r="B1" s="3"/>
      <c r="G1" t="s">
        <v>2</v>
      </c>
      <c r="H1">
        <v>221</v>
      </c>
      <c r="I1">
        <v>421</v>
      </c>
      <c r="J1">
        <v>200</v>
      </c>
      <c r="K1">
        <v>400</v>
      </c>
      <c r="L1">
        <v>100</v>
      </c>
      <c r="M1">
        <v>150</v>
      </c>
    </row>
    <row r="2" spans="1:13" ht="15" x14ac:dyDescent="0.25">
      <c r="A2" s="4" t="s">
        <v>3</v>
      </c>
      <c r="B2" s="4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2">
      <c r="A3" t="s">
        <v>51</v>
      </c>
      <c r="B3" t="str">
        <f>H2</f>
        <v>רכב חובה</v>
      </c>
      <c r="D3" t="s">
        <v>5</v>
      </c>
      <c r="G3" t="s">
        <v>11</v>
      </c>
      <c r="H3" s="5">
        <v>0.05</v>
      </c>
      <c r="I3" s="5">
        <v>0.05</v>
      </c>
      <c r="J3" s="5">
        <v>0.14000000000000001</v>
      </c>
      <c r="K3" s="5">
        <v>0.11</v>
      </c>
      <c r="L3" s="5">
        <v>0.21</v>
      </c>
      <c r="M3" s="5">
        <v>0.18</v>
      </c>
    </row>
    <row r="4" spans="1:13" x14ac:dyDescent="0.2">
      <c r="A4" t="s">
        <v>52</v>
      </c>
      <c r="B4" t="str">
        <f>J2</f>
        <v>רכב רכוש</v>
      </c>
      <c r="D4" t="s">
        <v>7</v>
      </c>
    </row>
    <row r="5" spans="1:13" x14ac:dyDescent="0.2">
      <c r="A5" t="s">
        <v>53</v>
      </c>
      <c r="B5" t="str">
        <f>J2</f>
        <v>רכב רכוש</v>
      </c>
      <c r="D5" t="s">
        <v>7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</row>
    <row r="6" spans="1:13" x14ac:dyDescent="0.2">
      <c r="A6" t="s">
        <v>54</v>
      </c>
      <c r="B6" t="str">
        <f>I2</f>
        <v>משאיות חובה</v>
      </c>
      <c r="D6" t="s">
        <v>6</v>
      </c>
      <c r="G6" t="s">
        <v>12</v>
      </c>
      <c r="H6" s="5">
        <v>0.13500000000000001</v>
      </c>
      <c r="I6" s="5">
        <v>0.95</v>
      </c>
      <c r="J6" s="5">
        <v>0.79999999999999993</v>
      </c>
      <c r="K6" s="5">
        <v>0.95</v>
      </c>
      <c r="L6" s="5">
        <v>0.85</v>
      </c>
      <c r="M6" s="5">
        <v>0.85</v>
      </c>
    </row>
    <row r="7" spans="1:13" x14ac:dyDescent="0.2">
      <c r="A7" t="s">
        <v>55</v>
      </c>
      <c r="B7" t="str">
        <f>I2</f>
        <v>משאיות חובה</v>
      </c>
      <c r="D7" t="s">
        <v>6</v>
      </c>
      <c r="H7" s="5"/>
      <c r="I7" s="5"/>
      <c r="J7" s="5"/>
      <c r="K7" s="5"/>
      <c r="L7" s="5"/>
      <c r="M7" s="5"/>
    </row>
    <row r="8" spans="1:13" x14ac:dyDescent="0.2">
      <c r="A8" t="s">
        <v>56</v>
      </c>
      <c r="B8" t="str">
        <f>I2</f>
        <v>משאיות חובה</v>
      </c>
      <c r="D8" t="s">
        <v>6</v>
      </c>
      <c r="G8" t="s">
        <v>13</v>
      </c>
      <c r="H8" s="5">
        <v>0.17222222222222222</v>
      </c>
      <c r="I8" s="5">
        <v>0.15</v>
      </c>
      <c r="J8" s="5">
        <v>0.20087500000000003</v>
      </c>
      <c r="K8" s="5">
        <v>0.22</v>
      </c>
      <c r="L8" s="5">
        <v>0.24338235294117647</v>
      </c>
      <c r="M8" s="5">
        <v>0.24338235294117647</v>
      </c>
    </row>
    <row r="9" spans="1:13" x14ac:dyDescent="0.2">
      <c r="A9" t="s">
        <v>57</v>
      </c>
      <c r="B9" t="str">
        <f>K2</f>
        <v>משאיות רכוש</v>
      </c>
      <c r="D9" t="s">
        <v>8</v>
      </c>
    </row>
    <row r="10" spans="1:13" x14ac:dyDescent="0.2">
      <c r="A10" t="s">
        <v>58</v>
      </c>
      <c r="B10" t="str">
        <f>K2</f>
        <v>משאיות רכוש</v>
      </c>
      <c r="D10" t="s">
        <v>8</v>
      </c>
      <c r="L10">
        <v>60</v>
      </c>
      <c r="M10">
        <v>70</v>
      </c>
    </row>
    <row r="11" spans="1:13" x14ac:dyDescent="0.2">
      <c r="A11" t="s">
        <v>59</v>
      </c>
      <c r="B11" t="str">
        <f>L2</f>
        <v>דירות</v>
      </c>
      <c r="D11" t="s">
        <v>9</v>
      </c>
    </row>
    <row r="12" spans="1:13" x14ac:dyDescent="0.2">
      <c r="A12" t="s">
        <v>60</v>
      </c>
      <c r="B12" t="str">
        <f>K2</f>
        <v>משאיות רכוש</v>
      </c>
      <c r="D12" t="s">
        <v>8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</row>
    <row r="13" spans="1:13" x14ac:dyDescent="0.2">
      <c r="A13" t="s">
        <v>10</v>
      </c>
      <c r="B13" t="str">
        <f>M2</f>
        <v>בתי עסק</v>
      </c>
      <c r="D13" t="s">
        <v>10</v>
      </c>
      <c r="G13" t="s">
        <v>14</v>
      </c>
      <c r="H13" s="5">
        <v>0.9</v>
      </c>
      <c r="I13" s="5">
        <v>0.9</v>
      </c>
      <c r="J13" s="5">
        <v>0.7</v>
      </c>
      <c r="K13" s="5">
        <v>0.7</v>
      </c>
      <c r="L13" s="5">
        <v>0.6</v>
      </c>
      <c r="M13" s="5">
        <v>0.7</v>
      </c>
    </row>
    <row r="15" spans="1:13" x14ac:dyDescent="0.2">
      <c r="E15" t="s">
        <v>15</v>
      </c>
      <c r="F15">
        <v>2025</v>
      </c>
      <c r="G15">
        <v>200000</v>
      </c>
      <c r="H15" s="2">
        <v>30000</v>
      </c>
      <c r="I15" s="6">
        <v>0.25</v>
      </c>
    </row>
    <row r="16" spans="1:13" x14ac:dyDescent="0.2">
      <c r="E16" t="s">
        <v>15</v>
      </c>
      <c r="F16">
        <v>2026</v>
      </c>
      <c r="G16" t="s">
        <v>16</v>
      </c>
      <c r="H16" s="2">
        <v>42228</v>
      </c>
      <c r="I16" s="6">
        <v>0.25</v>
      </c>
      <c r="J16" t="s">
        <v>17</v>
      </c>
      <c r="L16" t="s">
        <v>18</v>
      </c>
    </row>
    <row r="17" spans="2:17" x14ac:dyDescent="0.2">
      <c r="I17" s="6"/>
    </row>
    <row r="18" spans="2:17" x14ac:dyDescent="0.2">
      <c r="B18" t="s">
        <v>19</v>
      </c>
      <c r="F18">
        <v>2025</v>
      </c>
      <c r="G18" t="s">
        <v>20</v>
      </c>
      <c r="H18">
        <f>IF(H33=F18,H15,0)</f>
        <v>0</v>
      </c>
      <c r="I18" s="6"/>
    </row>
    <row r="19" spans="2:17" x14ac:dyDescent="0.2">
      <c r="B19" s="7">
        <v>45747</v>
      </c>
      <c r="F19">
        <v>2026</v>
      </c>
      <c r="G19" t="s">
        <v>21</v>
      </c>
      <c r="H19">
        <f>IF(H33=F19,H16,0)</f>
        <v>42228</v>
      </c>
      <c r="I19" s="6"/>
    </row>
    <row r="20" spans="2:17" x14ac:dyDescent="0.2">
      <c r="B20" s="7">
        <v>45838</v>
      </c>
      <c r="I20" s="6"/>
      <c r="N20" t="s">
        <v>22</v>
      </c>
      <c r="P20">
        <v>2026</v>
      </c>
      <c r="Q20">
        <v>2025</v>
      </c>
    </row>
    <row r="21" spans="2:17" x14ac:dyDescent="0.2">
      <c r="B21" s="7">
        <v>45930</v>
      </c>
      <c r="N21" s="6">
        <v>1</v>
      </c>
      <c r="O21" t="s">
        <v>23</v>
      </c>
      <c r="P21">
        <f>$H$19*N21</f>
        <v>42228</v>
      </c>
      <c r="Q21">
        <v>20000</v>
      </c>
    </row>
    <row r="22" spans="2:17" x14ac:dyDescent="0.2">
      <c r="B22" s="7">
        <v>46022</v>
      </c>
      <c r="G22" t="s">
        <v>24</v>
      </c>
      <c r="H22">
        <f>K27*4</f>
        <v>3464</v>
      </c>
      <c r="I22" t="s">
        <v>25</v>
      </c>
      <c r="J22" s="6">
        <v>0.25</v>
      </c>
      <c r="K22" t="s">
        <v>26</v>
      </c>
      <c r="N22" s="6">
        <v>0.3</v>
      </c>
      <c r="O22" t="s">
        <v>27</v>
      </c>
      <c r="P22">
        <f t="shared" ref="P22:P23" si="0">$H$19*N22</f>
        <v>12668.4</v>
      </c>
    </row>
    <row r="23" spans="2:17" x14ac:dyDescent="0.2">
      <c r="B23" s="7">
        <v>46112</v>
      </c>
      <c r="G23" t="s">
        <v>28</v>
      </c>
      <c r="N23" s="6">
        <v>0.2</v>
      </c>
      <c r="O23" t="s">
        <v>29</v>
      </c>
      <c r="P23">
        <f t="shared" si="0"/>
        <v>8445.6</v>
      </c>
    </row>
    <row r="24" spans="2:17" x14ac:dyDescent="0.2">
      <c r="B24" s="7">
        <v>46203</v>
      </c>
      <c r="G24" t="s">
        <v>30</v>
      </c>
      <c r="H24">
        <f>K24/K27</f>
        <v>0.86836027713625863</v>
      </c>
      <c r="K24">
        <v>752</v>
      </c>
      <c r="P24">
        <f>SUM(P21:P23)</f>
        <v>63342</v>
      </c>
    </row>
    <row r="25" spans="2:17" x14ac:dyDescent="0.2">
      <c r="B25" s="7">
        <v>46295</v>
      </c>
      <c r="G25" t="s">
        <v>31</v>
      </c>
      <c r="H25">
        <f>K25/K27</f>
        <v>7.3903002309468821E-2</v>
      </c>
      <c r="K25">
        <v>64</v>
      </c>
    </row>
    <row r="26" spans="2:17" x14ac:dyDescent="0.2">
      <c r="B26" s="7">
        <v>46387</v>
      </c>
      <c r="G26" t="s">
        <v>9</v>
      </c>
      <c r="H26">
        <f>K25/K27</f>
        <v>7.3903002309468821E-2</v>
      </c>
      <c r="K26">
        <v>50</v>
      </c>
    </row>
    <row r="27" spans="2:17" x14ac:dyDescent="0.2">
      <c r="K27">
        <f>K24+K25+K26</f>
        <v>866</v>
      </c>
      <c r="L27">
        <v>6000</v>
      </c>
    </row>
    <row r="28" spans="2:17" x14ac:dyDescent="0.2">
      <c r="B28" t="s">
        <v>32</v>
      </c>
    </row>
    <row r="29" spans="2:17" x14ac:dyDescent="0.2">
      <c r="B29" t="s">
        <v>33</v>
      </c>
      <c r="C29">
        <v>2026</v>
      </c>
      <c r="G29" t="s">
        <v>34</v>
      </c>
    </row>
    <row r="30" spans="2:17" x14ac:dyDescent="0.2">
      <c r="B30" t="s">
        <v>35</v>
      </c>
      <c r="C30">
        <v>4</v>
      </c>
      <c r="G30" t="s">
        <v>36</v>
      </c>
      <c r="H30" s="8">
        <v>0.04</v>
      </c>
      <c r="I30" t="s">
        <v>37</v>
      </c>
    </row>
    <row r="31" spans="2:17" x14ac:dyDescent="0.2">
      <c r="B31" t="s">
        <v>38</v>
      </c>
      <c r="C31" s="7">
        <f>DATE(C29,C33,C34)</f>
        <v>46387</v>
      </c>
      <c r="H31" s="8">
        <f>H30/4</f>
        <v>0.01</v>
      </c>
      <c r="I31" t="s">
        <v>26</v>
      </c>
    </row>
    <row r="32" spans="2:17" x14ac:dyDescent="0.2">
      <c r="H32" s="8"/>
    </row>
    <row r="33" spans="2:14" x14ac:dyDescent="0.2">
      <c r="B33" t="s">
        <v>39</v>
      </c>
      <c r="C33" cm="1">
        <f t="array" ref="C33">_xlfn.SWITCH(C30, 1, 3, 2, 6,3,9,4,12)</f>
        <v>12</v>
      </c>
      <c r="G33" t="s">
        <v>33</v>
      </c>
      <c r="H33">
        <v>2026</v>
      </c>
    </row>
    <row r="34" spans="2:14" x14ac:dyDescent="0.2">
      <c r="B34" t="s">
        <v>40</v>
      </c>
      <c r="C34" cm="1">
        <f t="array" ref="C34">_xlfn.SWITCH(C30, 2, 30, 3, 30, 31)</f>
        <v>31</v>
      </c>
      <c r="G34" t="s">
        <v>35</v>
      </c>
      <c r="H34">
        <v>4</v>
      </c>
      <c r="J34" t="s">
        <v>41</v>
      </c>
      <c r="L34" t="s">
        <v>42</v>
      </c>
      <c r="N34" t="s">
        <v>15</v>
      </c>
    </row>
    <row r="35" spans="2:14" x14ac:dyDescent="0.2">
      <c r="G35" t="s">
        <v>43</v>
      </c>
      <c r="H35" t="str">
        <f>VLOOKUP(H34,G37:H40,2)</f>
        <v>מצטבר ליום 31 בדצמבר</v>
      </c>
    </row>
    <row r="36" spans="2:14" x14ac:dyDescent="0.2">
      <c r="G36" t="s">
        <v>35</v>
      </c>
      <c r="H36" t="s">
        <v>44</v>
      </c>
      <c r="N36" t="str">
        <f>L34&amp;" "&amp;H35&amp;" "&amp;N34&amp;" "&amp;H33</f>
        <v>דוח עסקי ביטוח  מצטבר ליום 31 בדצמבר שנת 2026</v>
      </c>
    </row>
    <row r="37" spans="2:14" x14ac:dyDescent="0.2">
      <c r="G37">
        <v>1</v>
      </c>
      <c r="H37" t="s">
        <v>45</v>
      </c>
    </row>
    <row r="38" spans="2:14" x14ac:dyDescent="0.2">
      <c r="G38">
        <v>2</v>
      </c>
      <c r="H38" t="s">
        <v>46</v>
      </c>
    </row>
    <row r="39" spans="2:14" x14ac:dyDescent="0.2">
      <c r="G39">
        <v>3</v>
      </c>
      <c r="H39" t="s">
        <v>47</v>
      </c>
    </row>
    <row r="40" spans="2:14" x14ac:dyDescent="0.2">
      <c r="G40">
        <v>4</v>
      </c>
      <c r="H40" t="s">
        <v>48</v>
      </c>
    </row>
    <row r="43" spans="2:14" x14ac:dyDescent="0.2">
      <c r="F43" t="s">
        <v>15</v>
      </c>
      <c r="G43" t="s">
        <v>35</v>
      </c>
      <c r="H43" t="s">
        <v>49</v>
      </c>
    </row>
    <row r="44" spans="2:14" x14ac:dyDescent="0.2">
      <c r="F44">
        <v>2025</v>
      </c>
      <c r="G44">
        <v>1</v>
      </c>
      <c r="H44" t="e">
        <v>#VALUE!</v>
      </c>
    </row>
    <row r="45" spans="2:14" x14ac:dyDescent="0.2">
      <c r="F45">
        <v>2025</v>
      </c>
      <c r="G45">
        <v>2</v>
      </c>
    </row>
    <row r="46" spans="2:14" x14ac:dyDescent="0.2">
      <c r="F46">
        <v>2025</v>
      </c>
      <c r="G46">
        <v>3</v>
      </c>
    </row>
    <row r="47" spans="2:14" x14ac:dyDescent="0.2">
      <c r="F47">
        <v>2025</v>
      </c>
      <c r="G47">
        <v>4</v>
      </c>
    </row>
    <row r="48" spans="2:14" x14ac:dyDescent="0.2">
      <c r="F48">
        <v>2026</v>
      </c>
      <c r="G48">
        <v>1</v>
      </c>
    </row>
    <row r="49" spans="6:8" x14ac:dyDescent="0.2">
      <c r="F49">
        <v>2026</v>
      </c>
      <c r="G49">
        <v>2</v>
      </c>
    </row>
    <row r="50" spans="6:8" x14ac:dyDescent="0.2">
      <c r="F50">
        <v>2026</v>
      </c>
      <c r="G50">
        <v>3</v>
      </c>
    </row>
    <row r="51" spans="6:8" x14ac:dyDescent="0.2">
      <c r="F51">
        <v>2026</v>
      </c>
      <c r="G51">
        <v>4</v>
      </c>
    </row>
    <row r="54" spans="6:8" x14ac:dyDescent="0.2">
      <c r="G54" t="s">
        <v>50</v>
      </c>
      <c r="H54">
        <v>510</v>
      </c>
    </row>
    <row r="55" spans="6:8" x14ac:dyDescent="0.2">
      <c r="H55">
        <f>H54/4</f>
        <v>127.5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55C6-0869-4539-91CD-2D51E1B22850}">
  <dimension ref="A1:I29"/>
  <sheetViews>
    <sheetView rightToLeft="1" workbookViewId="0">
      <selection activeCell="B29" sqref="B29:C29"/>
    </sheetView>
  </sheetViews>
  <sheetFormatPr defaultRowHeight="14.25" x14ac:dyDescent="0.2"/>
  <cols>
    <col min="1" max="1" width="17.25" customWidth="1"/>
    <col min="2" max="4" width="13.75" customWidth="1"/>
    <col min="5" max="5" width="10.375" customWidth="1"/>
    <col min="6" max="6" width="17" customWidth="1"/>
    <col min="7" max="7" width="12" customWidth="1"/>
    <col min="8" max="8" width="14.75" customWidth="1"/>
  </cols>
  <sheetData>
    <row r="1" spans="1:9" x14ac:dyDescent="0.2">
      <c r="A1" t="s">
        <v>33</v>
      </c>
      <c r="B1" t="s">
        <v>68</v>
      </c>
      <c r="C1" t="s">
        <v>61</v>
      </c>
      <c r="D1" t="s">
        <v>69</v>
      </c>
      <c r="E1" t="s">
        <v>70</v>
      </c>
      <c r="F1" t="s">
        <v>14</v>
      </c>
      <c r="H1" s="29" t="s">
        <v>77</v>
      </c>
      <c r="I1">
        <v>0.79400000000000004</v>
      </c>
    </row>
    <row r="2" spans="1:9" x14ac:dyDescent="0.2">
      <c r="A2" s="26">
        <v>2025</v>
      </c>
      <c r="B2" s="21" t="s">
        <v>51</v>
      </c>
      <c r="C2" s="20">
        <v>0.05</v>
      </c>
      <c r="D2" s="19">
        <v>0.13500000000000001</v>
      </c>
      <c r="E2" s="19">
        <v>0.17219999999999999</v>
      </c>
      <c r="F2" s="28">
        <v>0.9</v>
      </c>
    </row>
    <row r="3" spans="1:9" x14ac:dyDescent="0.2">
      <c r="A3" s="26">
        <v>2025</v>
      </c>
      <c r="B3" s="21" t="s">
        <v>52</v>
      </c>
      <c r="C3" s="20">
        <v>0.14000000000000001</v>
      </c>
      <c r="D3" s="19">
        <v>0.8</v>
      </c>
      <c r="E3" s="19">
        <v>0.2</v>
      </c>
      <c r="F3" s="28">
        <v>0.7</v>
      </c>
    </row>
    <row r="4" spans="1:9" x14ac:dyDescent="0.2">
      <c r="A4" s="26">
        <v>2025</v>
      </c>
      <c r="B4" s="21" t="s">
        <v>53</v>
      </c>
      <c r="C4" s="20">
        <v>0.14000000000000001</v>
      </c>
      <c r="D4" s="19">
        <v>0.8</v>
      </c>
      <c r="E4" s="19">
        <v>0.2</v>
      </c>
      <c r="F4" s="28">
        <v>0.7</v>
      </c>
    </row>
    <row r="5" spans="1:9" x14ac:dyDescent="0.2">
      <c r="A5" s="26">
        <v>2025</v>
      </c>
      <c r="B5" s="21" t="s">
        <v>54</v>
      </c>
      <c r="C5" s="20">
        <v>0.05</v>
      </c>
      <c r="D5" s="19">
        <v>0.95</v>
      </c>
      <c r="E5" s="19">
        <v>0.15</v>
      </c>
      <c r="F5" s="28">
        <v>0.9</v>
      </c>
    </row>
    <row r="6" spans="1:9" x14ac:dyDescent="0.2">
      <c r="A6" s="26">
        <v>2025</v>
      </c>
      <c r="B6" s="21" t="s">
        <v>55</v>
      </c>
      <c r="C6" s="20">
        <v>0.05</v>
      </c>
      <c r="D6" s="19">
        <v>0.95</v>
      </c>
      <c r="E6" s="19">
        <v>0.15</v>
      </c>
      <c r="F6" s="28">
        <v>0.9</v>
      </c>
    </row>
    <row r="7" spans="1:9" x14ac:dyDescent="0.2">
      <c r="A7" s="26">
        <v>2025</v>
      </c>
      <c r="B7" s="21" t="s">
        <v>56</v>
      </c>
      <c r="C7" s="20">
        <v>0.05</v>
      </c>
      <c r="D7" s="19">
        <v>0.95</v>
      </c>
      <c r="E7" s="19">
        <v>0.15</v>
      </c>
      <c r="F7" s="28">
        <v>0.9</v>
      </c>
    </row>
    <row r="8" spans="1:9" x14ac:dyDescent="0.2">
      <c r="A8" s="26">
        <v>2025</v>
      </c>
      <c r="B8" s="21" t="s">
        <v>57</v>
      </c>
      <c r="C8" s="20">
        <v>0.11</v>
      </c>
      <c r="D8" s="19">
        <v>0.95</v>
      </c>
      <c r="E8" s="19">
        <v>0.22</v>
      </c>
      <c r="F8" s="28">
        <v>0.7</v>
      </c>
    </row>
    <row r="9" spans="1:9" x14ac:dyDescent="0.2">
      <c r="A9" s="26">
        <v>2025</v>
      </c>
      <c r="B9" s="21" t="s">
        <v>58</v>
      </c>
      <c r="C9" s="20">
        <v>0.11</v>
      </c>
      <c r="D9" s="19">
        <v>0.95</v>
      </c>
      <c r="E9" s="19">
        <v>0.22</v>
      </c>
      <c r="F9" s="28">
        <v>0.7</v>
      </c>
    </row>
    <row r="10" spans="1:9" x14ac:dyDescent="0.2">
      <c r="A10" s="26">
        <v>2025</v>
      </c>
      <c r="B10" s="21" t="s">
        <v>60</v>
      </c>
      <c r="C10" s="20">
        <v>0.11</v>
      </c>
      <c r="D10" s="19">
        <v>0.95</v>
      </c>
      <c r="E10" s="19">
        <v>0.22</v>
      </c>
      <c r="F10" s="28">
        <v>0.7</v>
      </c>
    </row>
    <row r="11" spans="1:9" x14ac:dyDescent="0.2">
      <c r="A11" s="26">
        <v>2025</v>
      </c>
      <c r="B11" s="21" t="s">
        <v>59</v>
      </c>
      <c r="C11" s="20">
        <v>0.21</v>
      </c>
      <c r="D11" s="19">
        <v>0.85</v>
      </c>
      <c r="E11" s="19">
        <v>0.24340000000000001</v>
      </c>
      <c r="F11" s="28">
        <v>0.8</v>
      </c>
    </row>
    <row r="12" spans="1:9" x14ac:dyDescent="0.2">
      <c r="A12" s="26">
        <v>2025</v>
      </c>
      <c r="B12" s="21" t="s">
        <v>10</v>
      </c>
      <c r="C12" s="20">
        <v>0.18</v>
      </c>
      <c r="D12" s="19">
        <v>0.85</v>
      </c>
      <c r="E12" s="19">
        <v>0.24340000000000001</v>
      </c>
      <c r="F12" s="28">
        <v>0.7</v>
      </c>
    </row>
    <row r="13" spans="1:9" x14ac:dyDescent="0.2">
      <c r="A13" s="27">
        <v>2026</v>
      </c>
      <c r="B13" s="22" t="s">
        <v>51</v>
      </c>
      <c r="C13" s="23">
        <v>0.05</v>
      </c>
      <c r="D13" s="24">
        <v>0.13500000000000001</v>
      </c>
      <c r="E13" s="24">
        <v>0.17219999999999999</v>
      </c>
      <c r="F13" s="25">
        <v>0.9</v>
      </c>
    </row>
    <row r="14" spans="1:9" x14ac:dyDescent="0.2">
      <c r="A14" s="27">
        <v>2026</v>
      </c>
      <c r="B14" s="22" t="s">
        <v>52</v>
      </c>
      <c r="C14" s="23">
        <v>0.14000000000000001</v>
      </c>
      <c r="D14" s="24">
        <v>0.8</v>
      </c>
      <c r="E14" s="24">
        <v>0.2</v>
      </c>
      <c r="F14" s="25">
        <v>0.7</v>
      </c>
    </row>
    <row r="15" spans="1:9" x14ac:dyDescent="0.2">
      <c r="A15" s="27">
        <v>2026</v>
      </c>
      <c r="B15" s="22" t="s">
        <v>53</v>
      </c>
      <c r="C15" s="23">
        <v>0.14000000000000001</v>
      </c>
      <c r="D15" s="24">
        <v>0.8</v>
      </c>
      <c r="E15" s="24">
        <v>0.2</v>
      </c>
      <c r="F15" s="25">
        <v>0.7</v>
      </c>
    </row>
    <row r="16" spans="1:9" x14ac:dyDescent="0.2">
      <c r="A16" s="27">
        <v>2026</v>
      </c>
      <c r="B16" s="22" t="s">
        <v>54</v>
      </c>
      <c r="C16" s="23">
        <v>0.05</v>
      </c>
      <c r="D16" s="24">
        <v>0.95</v>
      </c>
      <c r="E16" s="24">
        <v>0.15</v>
      </c>
      <c r="F16" s="25">
        <v>0.9</v>
      </c>
    </row>
    <row r="17" spans="1:6" x14ac:dyDescent="0.2">
      <c r="A17" s="27">
        <v>2026</v>
      </c>
      <c r="B17" s="22" t="s">
        <v>55</v>
      </c>
      <c r="C17" s="23">
        <v>0.05</v>
      </c>
      <c r="D17" s="24">
        <v>0.95</v>
      </c>
      <c r="E17" s="24">
        <v>0.15</v>
      </c>
      <c r="F17" s="25">
        <v>0.9</v>
      </c>
    </row>
    <row r="18" spans="1:6" x14ac:dyDescent="0.2">
      <c r="A18" s="27">
        <v>2026</v>
      </c>
      <c r="B18" s="22" t="s">
        <v>56</v>
      </c>
      <c r="C18" s="23">
        <v>0.05</v>
      </c>
      <c r="D18" s="24">
        <v>0.95</v>
      </c>
      <c r="E18" s="24">
        <v>0.15</v>
      </c>
      <c r="F18" s="25">
        <v>0.9</v>
      </c>
    </row>
    <row r="19" spans="1:6" x14ac:dyDescent="0.2">
      <c r="A19" s="27">
        <v>2026</v>
      </c>
      <c r="B19" s="22" t="s">
        <v>57</v>
      </c>
      <c r="C19" s="23">
        <v>0.11</v>
      </c>
      <c r="D19" s="24">
        <v>0.95</v>
      </c>
      <c r="E19" s="24">
        <v>0.22</v>
      </c>
      <c r="F19" s="25">
        <v>0.7</v>
      </c>
    </row>
    <row r="20" spans="1:6" x14ac:dyDescent="0.2">
      <c r="A20" s="27">
        <v>2026</v>
      </c>
      <c r="B20" s="22" t="s">
        <v>58</v>
      </c>
      <c r="C20" s="23">
        <v>0.11</v>
      </c>
      <c r="D20" s="24">
        <v>0.95</v>
      </c>
      <c r="E20" s="24">
        <v>0.22</v>
      </c>
      <c r="F20" s="25">
        <v>0.7</v>
      </c>
    </row>
    <row r="21" spans="1:6" x14ac:dyDescent="0.2">
      <c r="A21" s="27">
        <v>2026</v>
      </c>
      <c r="B21" s="22" t="s">
        <v>60</v>
      </c>
      <c r="C21" s="23">
        <v>0.11</v>
      </c>
      <c r="D21" s="24">
        <v>0.95</v>
      </c>
      <c r="E21" s="24">
        <v>0.22</v>
      </c>
      <c r="F21" s="25">
        <v>0.7</v>
      </c>
    </row>
    <row r="22" spans="1:6" x14ac:dyDescent="0.2">
      <c r="A22" s="27">
        <v>2026</v>
      </c>
      <c r="B22" s="22" t="s">
        <v>59</v>
      </c>
      <c r="C22" s="23">
        <v>0.21</v>
      </c>
      <c r="D22" s="24">
        <v>0.85</v>
      </c>
      <c r="E22" s="24">
        <v>0.24340000000000001</v>
      </c>
      <c r="F22" s="25">
        <v>0.8</v>
      </c>
    </row>
    <row r="23" spans="1:6" x14ac:dyDescent="0.2">
      <c r="A23" s="27">
        <v>2026</v>
      </c>
      <c r="B23" s="22" t="s">
        <v>10</v>
      </c>
      <c r="C23" s="23">
        <v>0.18</v>
      </c>
      <c r="D23" s="24">
        <v>0.85</v>
      </c>
      <c r="E23" s="24">
        <v>0.24340000000000001</v>
      </c>
      <c r="F23" s="25">
        <v>0.7</v>
      </c>
    </row>
    <row r="24" spans="1:6" x14ac:dyDescent="0.2">
      <c r="A24" t="s">
        <v>77</v>
      </c>
    </row>
    <row r="25" spans="1:6" x14ac:dyDescent="0.2">
      <c r="A25" s="26">
        <v>2025</v>
      </c>
      <c r="B25" s="10" t="s">
        <v>5</v>
      </c>
      <c r="C25">
        <v>0.79400000000000004</v>
      </c>
    </row>
    <row r="26" spans="1:6" x14ac:dyDescent="0.2">
      <c r="A26" s="27">
        <v>2026</v>
      </c>
      <c r="B26" t="s">
        <v>6</v>
      </c>
      <c r="C26">
        <v>0.79400000000000004</v>
      </c>
    </row>
    <row r="27" spans="1:6" x14ac:dyDescent="0.2">
      <c r="A27" s="26">
        <v>2026</v>
      </c>
      <c r="B27" s="10" t="s">
        <v>5</v>
      </c>
      <c r="C27">
        <v>0.79400000000000004</v>
      </c>
    </row>
    <row r="28" spans="1:6" x14ac:dyDescent="0.2">
      <c r="A28" s="27">
        <v>2026</v>
      </c>
      <c r="B28" t="s">
        <v>6</v>
      </c>
      <c r="C28">
        <v>0.79400000000000004</v>
      </c>
    </row>
    <row r="29" spans="1:6" x14ac:dyDescent="0.2">
      <c r="B2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7255-C72A-468C-AE3D-DA98F9EDB4C9}">
  <dimension ref="A1:F210"/>
  <sheetViews>
    <sheetView rightToLeft="1" zoomScale="118" zoomScaleNormal="118" workbookViewId="0">
      <pane ySplit="1" topLeftCell="A137" activePane="bottomLeft" state="frozen"/>
      <selection pane="bottomLeft" activeCell="E137" sqref="E137"/>
    </sheetView>
  </sheetViews>
  <sheetFormatPr defaultColWidth="9" defaultRowHeight="14.25" x14ac:dyDescent="0.2"/>
  <cols>
    <col min="2" max="2" width="11.125" customWidth="1"/>
    <col min="3" max="3" width="16.25" customWidth="1"/>
    <col min="4" max="4" width="14.5" style="31" bestFit="1" customWidth="1"/>
    <col min="5" max="5" width="14.5" bestFit="1" customWidth="1"/>
    <col min="6" max="7" width="9.875" bestFit="1" customWidth="1"/>
    <col min="11" max="11" width="12.375" bestFit="1" customWidth="1"/>
  </cols>
  <sheetData>
    <row r="1" spans="1:6" x14ac:dyDescent="0.2">
      <c r="A1" t="s">
        <v>0</v>
      </c>
      <c r="B1" t="s">
        <v>65</v>
      </c>
      <c r="C1" t="s">
        <v>67</v>
      </c>
      <c r="D1" s="31" t="s">
        <v>1</v>
      </c>
      <c r="F1" t="s">
        <v>1</v>
      </c>
    </row>
    <row r="2" spans="1:6" x14ac:dyDescent="0.2">
      <c r="A2" s="1">
        <v>45717</v>
      </c>
      <c r="B2" t="s">
        <v>5</v>
      </c>
      <c r="C2" s="16" t="s">
        <v>51</v>
      </c>
      <c r="D2" s="32">
        <v>46319</v>
      </c>
      <c r="E2" s="14">
        <f>D2*1000</f>
        <v>46319000</v>
      </c>
      <c r="F2" s="31">
        <f>ROUND(E2,0)</f>
        <v>46319000</v>
      </c>
    </row>
    <row r="3" spans="1:6" x14ac:dyDescent="0.2">
      <c r="A3" s="1">
        <v>45748</v>
      </c>
      <c r="B3" t="s">
        <v>5</v>
      </c>
      <c r="C3" s="16" t="s">
        <v>51</v>
      </c>
      <c r="D3" s="32">
        <v>448737</v>
      </c>
      <c r="E3" s="14">
        <f t="shared" ref="E3:E5" si="0">D3*1000</f>
        <v>448737000</v>
      </c>
      <c r="F3" s="31">
        <f t="shared" ref="D3:F5" si="1">ROUND(E3,0)</f>
        <v>448737000</v>
      </c>
    </row>
    <row r="4" spans="1:6" x14ac:dyDescent="0.2">
      <c r="A4" s="1">
        <v>45778</v>
      </c>
      <c r="B4" t="s">
        <v>5</v>
      </c>
      <c r="C4" s="16" t="s">
        <v>51</v>
      </c>
      <c r="D4" s="32">
        <v>565905</v>
      </c>
      <c r="E4" s="14">
        <f t="shared" si="0"/>
        <v>565905000</v>
      </c>
      <c r="F4" s="31">
        <f t="shared" si="1"/>
        <v>565905000</v>
      </c>
    </row>
    <row r="5" spans="1:6" x14ac:dyDescent="0.2">
      <c r="A5" s="1">
        <v>45809</v>
      </c>
      <c r="B5" t="s">
        <v>5</v>
      </c>
      <c r="C5" s="16" t="s">
        <v>51</v>
      </c>
      <c r="D5" s="32">
        <v>1426814</v>
      </c>
      <c r="E5" s="14">
        <f t="shared" si="0"/>
        <v>1426814000</v>
      </c>
      <c r="F5" s="31">
        <f t="shared" si="1"/>
        <v>1426814000</v>
      </c>
    </row>
    <row r="6" spans="1:6" x14ac:dyDescent="0.2">
      <c r="A6" s="1">
        <v>45839</v>
      </c>
      <c r="B6" t="s">
        <v>5</v>
      </c>
      <c r="C6" s="16" t="s">
        <v>51</v>
      </c>
      <c r="D6" s="32">
        <v>2492297</v>
      </c>
      <c r="E6" s="14">
        <f>D6*1000</f>
        <v>2492297000</v>
      </c>
      <c r="F6" s="31">
        <f>ROUND(E6,0)</f>
        <v>2492297000</v>
      </c>
    </row>
    <row r="7" spans="1:6" x14ac:dyDescent="0.2">
      <c r="A7" s="1">
        <v>45870</v>
      </c>
      <c r="B7" t="s">
        <v>5</v>
      </c>
      <c r="C7" s="16" t="s">
        <v>51</v>
      </c>
      <c r="D7" s="32">
        <v>3093156</v>
      </c>
      <c r="E7" s="14">
        <f t="shared" ref="E7:E22" si="2">D7*1000</f>
        <v>3093156000</v>
      </c>
      <c r="F7" s="31">
        <f t="shared" ref="D7:F70" si="3">ROUND(E7,0)</f>
        <v>3093156000</v>
      </c>
    </row>
    <row r="8" spans="1:6" x14ac:dyDescent="0.2">
      <c r="A8" s="1">
        <v>45901</v>
      </c>
      <c r="B8" t="s">
        <v>5</v>
      </c>
      <c r="C8" s="16" t="s">
        <v>51</v>
      </c>
      <c r="D8" s="32">
        <v>5066358</v>
      </c>
      <c r="E8" s="14">
        <f t="shared" si="2"/>
        <v>5066358000</v>
      </c>
      <c r="F8" s="31">
        <f t="shared" si="3"/>
        <v>5066358000</v>
      </c>
    </row>
    <row r="9" spans="1:6" x14ac:dyDescent="0.2">
      <c r="A9" s="1">
        <v>45931</v>
      </c>
      <c r="B9" t="s">
        <v>5</v>
      </c>
      <c r="C9" s="16" t="s">
        <v>51</v>
      </c>
      <c r="D9" s="32">
        <v>5169409</v>
      </c>
      <c r="E9" s="14">
        <f t="shared" si="2"/>
        <v>5169409000</v>
      </c>
      <c r="F9" s="31">
        <f t="shared" si="3"/>
        <v>5169409000</v>
      </c>
    </row>
    <row r="10" spans="1:6" x14ac:dyDescent="0.2">
      <c r="A10" s="1">
        <v>45962</v>
      </c>
      <c r="B10" t="s">
        <v>5</v>
      </c>
      <c r="C10" s="16" t="s">
        <v>51</v>
      </c>
      <c r="D10" s="32">
        <v>5963173</v>
      </c>
      <c r="E10" s="14">
        <f t="shared" si="2"/>
        <v>5963173000</v>
      </c>
      <c r="F10" s="31">
        <f t="shared" si="3"/>
        <v>5963173000</v>
      </c>
    </row>
    <row r="11" spans="1:6" x14ac:dyDescent="0.2">
      <c r="A11" s="1">
        <v>45992</v>
      </c>
      <c r="B11" t="s">
        <v>5</v>
      </c>
      <c r="C11" s="16" t="s">
        <v>51</v>
      </c>
      <c r="D11" s="32">
        <v>5782596</v>
      </c>
      <c r="E11" s="14">
        <f t="shared" si="2"/>
        <v>5782596000</v>
      </c>
      <c r="F11" s="31">
        <f t="shared" si="3"/>
        <v>5782596000</v>
      </c>
    </row>
    <row r="12" spans="1:6" x14ac:dyDescent="0.2">
      <c r="A12" s="1">
        <v>46023</v>
      </c>
      <c r="B12" t="s">
        <v>5</v>
      </c>
      <c r="C12" s="16" t="s">
        <v>51</v>
      </c>
      <c r="D12" s="32">
        <v>5320000</v>
      </c>
      <c r="E12" s="14">
        <f t="shared" si="2"/>
        <v>5320000000</v>
      </c>
      <c r="F12" s="31">
        <f t="shared" si="3"/>
        <v>5320000000</v>
      </c>
    </row>
    <row r="13" spans="1:6" x14ac:dyDescent="0.2">
      <c r="A13" s="1">
        <v>46054</v>
      </c>
      <c r="B13" t="s">
        <v>5</v>
      </c>
      <c r="C13" s="16" t="s">
        <v>51</v>
      </c>
      <c r="D13" s="32">
        <v>5130000</v>
      </c>
      <c r="E13" s="14">
        <f t="shared" si="2"/>
        <v>5130000000</v>
      </c>
      <c r="F13" s="31">
        <f t="shared" si="3"/>
        <v>5130000000</v>
      </c>
    </row>
    <row r="14" spans="1:6" x14ac:dyDescent="0.2">
      <c r="A14" s="1">
        <v>46082</v>
      </c>
      <c r="B14" t="s">
        <v>5</v>
      </c>
      <c r="C14" s="16" t="s">
        <v>51</v>
      </c>
      <c r="D14" s="32">
        <v>5354770</v>
      </c>
      <c r="E14" s="14">
        <f t="shared" si="2"/>
        <v>5354770000</v>
      </c>
      <c r="F14" s="31">
        <f t="shared" si="3"/>
        <v>5354770000</v>
      </c>
    </row>
    <row r="15" spans="1:6" x14ac:dyDescent="0.2">
      <c r="A15" s="1">
        <v>46113</v>
      </c>
      <c r="B15" t="s">
        <v>5</v>
      </c>
      <c r="C15" s="16" t="s">
        <v>51</v>
      </c>
      <c r="D15" s="32">
        <v>5425260</v>
      </c>
      <c r="E15" s="14">
        <f t="shared" si="2"/>
        <v>5425260000</v>
      </c>
      <c r="F15" s="31">
        <f t="shared" si="3"/>
        <v>5425260000</v>
      </c>
    </row>
    <row r="16" spans="1:6" x14ac:dyDescent="0.2">
      <c r="A16" s="1">
        <v>46143</v>
      </c>
      <c r="B16" t="s">
        <v>5</v>
      </c>
      <c r="C16" s="16" t="s">
        <v>51</v>
      </c>
      <c r="D16" s="32">
        <v>6064990</v>
      </c>
      <c r="E16" s="14">
        <f t="shared" si="2"/>
        <v>6064990000</v>
      </c>
      <c r="F16" s="31">
        <f t="shared" si="3"/>
        <v>6064990000</v>
      </c>
    </row>
    <row r="17" spans="1:6" x14ac:dyDescent="0.2">
      <c r="A17" s="1">
        <v>46174</v>
      </c>
      <c r="B17" t="s">
        <v>5</v>
      </c>
      <c r="C17" s="16" t="s">
        <v>51</v>
      </c>
      <c r="D17" s="32">
        <v>6397490</v>
      </c>
      <c r="E17" s="14">
        <f t="shared" si="2"/>
        <v>6397490000</v>
      </c>
      <c r="F17" s="31">
        <f t="shared" si="3"/>
        <v>6397490000</v>
      </c>
    </row>
    <row r="18" spans="1:6" x14ac:dyDescent="0.2">
      <c r="A18" s="1">
        <v>46204</v>
      </c>
      <c r="B18" t="s">
        <v>5</v>
      </c>
      <c r="C18" s="16" t="s">
        <v>51</v>
      </c>
      <c r="D18" s="32">
        <v>7435460</v>
      </c>
      <c r="E18" s="14">
        <f t="shared" si="2"/>
        <v>7435460000</v>
      </c>
      <c r="F18" s="31">
        <f t="shared" si="3"/>
        <v>7435460000</v>
      </c>
    </row>
    <row r="19" spans="1:6" x14ac:dyDescent="0.2">
      <c r="A19" s="1">
        <v>46235</v>
      </c>
      <c r="B19" t="s">
        <v>5</v>
      </c>
      <c r="C19" s="16" t="s">
        <v>51</v>
      </c>
      <c r="D19" s="32">
        <v>8222440</v>
      </c>
      <c r="E19" s="14">
        <f t="shared" si="2"/>
        <v>8222440000</v>
      </c>
      <c r="F19" s="31">
        <f t="shared" si="3"/>
        <v>8222440000</v>
      </c>
    </row>
    <row r="20" spans="1:6" x14ac:dyDescent="0.2">
      <c r="A20" s="1">
        <v>46266</v>
      </c>
      <c r="B20" t="s">
        <v>5</v>
      </c>
      <c r="C20" s="16" t="s">
        <v>51</v>
      </c>
      <c r="D20" s="32">
        <v>9609060</v>
      </c>
      <c r="E20" s="14">
        <f t="shared" si="2"/>
        <v>9609060000</v>
      </c>
      <c r="F20" s="31">
        <f t="shared" si="3"/>
        <v>9609060000</v>
      </c>
    </row>
    <row r="21" spans="1:6" x14ac:dyDescent="0.2">
      <c r="A21" s="1">
        <v>46296</v>
      </c>
      <c r="B21" t="s">
        <v>5</v>
      </c>
      <c r="C21" s="16" t="s">
        <v>51</v>
      </c>
      <c r="D21" s="32">
        <v>9130260</v>
      </c>
      <c r="E21" s="14">
        <f t="shared" si="2"/>
        <v>9130260000</v>
      </c>
      <c r="F21" s="31">
        <f t="shared" si="3"/>
        <v>9130260000</v>
      </c>
    </row>
    <row r="22" spans="1:6" x14ac:dyDescent="0.2">
      <c r="A22" s="1">
        <v>46327</v>
      </c>
      <c r="B22" t="s">
        <v>5</v>
      </c>
      <c r="C22" s="16" t="s">
        <v>51</v>
      </c>
      <c r="D22" s="32">
        <v>9620840</v>
      </c>
      <c r="E22" s="14">
        <f t="shared" si="2"/>
        <v>9620840000</v>
      </c>
      <c r="F22" s="31">
        <f t="shared" si="3"/>
        <v>9620840000</v>
      </c>
    </row>
    <row r="23" spans="1:6" x14ac:dyDescent="0.2">
      <c r="A23" s="1">
        <v>46357</v>
      </c>
      <c r="B23" t="s">
        <v>5</v>
      </c>
      <c r="C23" s="16" t="s">
        <v>51</v>
      </c>
      <c r="D23" s="32">
        <v>12290720</v>
      </c>
      <c r="E23" s="14">
        <f>D23*1000</f>
        <v>12290720000</v>
      </c>
      <c r="F23" s="31">
        <f t="shared" si="3"/>
        <v>12290720000</v>
      </c>
    </row>
    <row r="24" spans="1:6" x14ac:dyDescent="0.2">
      <c r="A24" s="1">
        <v>45717</v>
      </c>
      <c r="B24" t="s">
        <v>7</v>
      </c>
      <c r="C24" s="17" t="s">
        <v>52</v>
      </c>
      <c r="D24" s="32">
        <v>107008</v>
      </c>
      <c r="E24" s="14">
        <f>D24*1000</f>
        <v>107008000</v>
      </c>
      <c r="F24" s="31">
        <f t="shared" si="3"/>
        <v>107008000</v>
      </c>
    </row>
    <row r="25" spans="1:6" x14ac:dyDescent="0.2">
      <c r="A25" s="1">
        <v>45748</v>
      </c>
      <c r="B25" t="s">
        <v>7</v>
      </c>
      <c r="C25" s="17" t="s">
        <v>52</v>
      </c>
      <c r="D25" s="32">
        <v>969672</v>
      </c>
      <c r="E25" s="14">
        <f t="shared" ref="E25:E27" si="4">D25*1000</f>
        <v>969672000</v>
      </c>
      <c r="F25" s="31">
        <f t="shared" si="3"/>
        <v>969672000</v>
      </c>
    </row>
    <row r="26" spans="1:6" x14ac:dyDescent="0.2">
      <c r="A26" s="1">
        <v>45778</v>
      </c>
      <c r="B26" t="s">
        <v>7</v>
      </c>
      <c r="C26" s="17" t="s">
        <v>52</v>
      </c>
      <c r="D26" s="32">
        <v>1327534</v>
      </c>
      <c r="E26" s="14">
        <f t="shared" si="4"/>
        <v>1327534000</v>
      </c>
      <c r="F26" s="31">
        <f t="shared" si="3"/>
        <v>1327534000</v>
      </c>
    </row>
    <row r="27" spans="1:6" x14ac:dyDescent="0.2">
      <c r="A27" s="1">
        <v>45809</v>
      </c>
      <c r="B27" t="s">
        <v>7</v>
      </c>
      <c r="C27" s="17" t="s">
        <v>52</v>
      </c>
      <c r="D27" s="32">
        <v>2941562</v>
      </c>
      <c r="E27" s="14">
        <f t="shared" si="4"/>
        <v>2941562000</v>
      </c>
      <c r="F27" s="31">
        <f t="shared" si="3"/>
        <v>2941562000</v>
      </c>
    </row>
    <row r="28" spans="1:6" x14ac:dyDescent="0.2">
      <c r="A28" s="1">
        <v>45839</v>
      </c>
      <c r="B28" t="s">
        <v>7</v>
      </c>
      <c r="C28" s="17" t="s">
        <v>52</v>
      </c>
      <c r="D28" s="32">
        <v>4528401</v>
      </c>
      <c r="E28" s="14">
        <f>D28*1000</f>
        <v>4528401000</v>
      </c>
      <c r="F28" s="31">
        <f t="shared" si="3"/>
        <v>4528401000</v>
      </c>
    </row>
    <row r="29" spans="1:6" x14ac:dyDescent="0.2">
      <c r="A29" s="1">
        <v>45870</v>
      </c>
      <c r="B29" t="s">
        <v>7</v>
      </c>
      <c r="C29" s="17" t="s">
        <v>52</v>
      </c>
      <c r="D29" s="32">
        <v>5457353</v>
      </c>
      <c r="E29" s="14">
        <f t="shared" ref="E29:E44" si="5">D29*1000</f>
        <v>5457353000</v>
      </c>
      <c r="F29" s="31">
        <f t="shared" si="3"/>
        <v>5457353000</v>
      </c>
    </row>
    <row r="30" spans="1:6" x14ac:dyDescent="0.2">
      <c r="A30" s="1">
        <v>45901</v>
      </c>
      <c r="B30" t="s">
        <v>7</v>
      </c>
      <c r="C30" s="17" t="s">
        <v>52</v>
      </c>
      <c r="D30" s="32">
        <v>8362511</v>
      </c>
      <c r="E30" s="14">
        <f t="shared" si="5"/>
        <v>8362511000</v>
      </c>
      <c r="F30" s="31">
        <f t="shared" si="3"/>
        <v>8362511000</v>
      </c>
    </row>
    <row r="31" spans="1:6" x14ac:dyDescent="0.2">
      <c r="A31" s="1">
        <v>45931</v>
      </c>
      <c r="B31" t="s">
        <v>7</v>
      </c>
      <c r="C31" s="17" t="s">
        <v>52</v>
      </c>
      <c r="D31" s="32">
        <v>8223845</v>
      </c>
      <c r="E31" s="14">
        <f t="shared" si="5"/>
        <v>8223845000</v>
      </c>
      <c r="F31" s="31">
        <f t="shared" si="3"/>
        <v>8223845000</v>
      </c>
    </row>
    <row r="32" spans="1:6" x14ac:dyDescent="0.2">
      <c r="A32" s="1">
        <v>45962</v>
      </c>
      <c r="B32" t="s">
        <v>7</v>
      </c>
      <c r="C32" s="17" t="s">
        <v>52</v>
      </c>
      <c r="D32" s="32">
        <v>10111913</v>
      </c>
      <c r="E32" s="14">
        <f t="shared" si="5"/>
        <v>10111913000</v>
      </c>
      <c r="F32" s="31">
        <f t="shared" si="3"/>
        <v>10111913000</v>
      </c>
    </row>
    <row r="33" spans="1:6" x14ac:dyDescent="0.2">
      <c r="A33" s="1">
        <v>45992</v>
      </c>
      <c r="B33" t="s">
        <v>7</v>
      </c>
      <c r="C33" s="17" t="s">
        <v>52</v>
      </c>
      <c r="D33" s="32">
        <v>9082928</v>
      </c>
      <c r="E33" s="14">
        <f t="shared" si="5"/>
        <v>9082928000</v>
      </c>
      <c r="F33" s="31">
        <f t="shared" si="3"/>
        <v>9082928000</v>
      </c>
    </row>
    <row r="34" spans="1:6" x14ac:dyDescent="0.2">
      <c r="A34" s="1">
        <v>46023</v>
      </c>
      <c r="B34" t="s">
        <v>7</v>
      </c>
      <c r="C34" s="17" t="s">
        <v>52</v>
      </c>
      <c r="D34" s="32">
        <v>6977208</v>
      </c>
      <c r="E34" s="14">
        <f t="shared" si="5"/>
        <v>6977208000</v>
      </c>
      <c r="F34" s="31">
        <f t="shared" si="3"/>
        <v>6977208000</v>
      </c>
    </row>
    <row r="35" spans="1:6" x14ac:dyDescent="0.2">
      <c r="A35" s="1">
        <v>46054</v>
      </c>
      <c r="B35" t="s">
        <v>7</v>
      </c>
      <c r="C35" s="17" t="s">
        <v>52</v>
      </c>
      <c r="D35" s="32">
        <v>6708744</v>
      </c>
      <c r="E35" s="14">
        <f t="shared" si="5"/>
        <v>6708744000</v>
      </c>
      <c r="F35" s="31">
        <f t="shared" si="3"/>
        <v>6708744000</v>
      </c>
    </row>
    <row r="36" spans="1:6" x14ac:dyDescent="0.2">
      <c r="A36" s="1">
        <v>46082</v>
      </c>
      <c r="B36" t="s">
        <v>7</v>
      </c>
      <c r="C36" s="17" t="s">
        <v>52</v>
      </c>
      <c r="D36" s="32">
        <v>7007665</v>
      </c>
      <c r="E36" s="14">
        <f t="shared" si="5"/>
        <v>7007665000</v>
      </c>
      <c r="F36" s="31">
        <f t="shared" si="3"/>
        <v>7007665000</v>
      </c>
    </row>
    <row r="37" spans="1:6" x14ac:dyDescent="0.2">
      <c r="A37" s="1">
        <v>46113</v>
      </c>
      <c r="B37" t="s">
        <v>7</v>
      </c>
      <c r="C37" s="17" t="s">
        <v>52</v>
      </c>
      <c r="D37" s="32">
        <v>7004424</v>
      </c>
      <c r="E37" s="14">
        <f t="shared" si="5"/>
        <v>7004424000</v>
      </c>
      <c r="F37" s="31">
        <f t="shared" si="3"/>
        <v>7004424000</v>
      </c>
    </row>
    <row r="38" spans="1:6" x14ac:dyDescent="0.2">
      <c r="A38" s="1">
        <v>46143</v>
      </c>
      <c r="B38" t="s">
        <v>7</v>
      </c>
      <c r="C38" s="17" t="s">
        <v>52</v>
      </c>
      <c r="D38" s="32">
        <v>7998480</v>
      </c>
      <c r="E38" s="14">
        <f t="shared" si="5"/>
        <v>7998480000</v>
      </c>
      <c r="F38" s="31">
        <f t="shared" si="3"/>
        <v>7998480000</v>
      </c>
    </row>
    <row r="39" spans="1:6" x14ac:dyDescent="0.2">
      <c r="A39" s="1">
        <v>46174</v>
      </c>
      <c r="B39" t="s">
        <v>7</v>
      </c>
      <c r="C39" s="17" t="s">
        <v>52</v>
      </c>
      <c r="D39" s="32">
        <v>7862120</v>
      </c>
      <c r="E39" s="14">
        <f t="shared" si="5"/>
        <v>7862120000</v>
      </c>
      <c r="F39" s="31">
        <f t="shared" si="3"/>
        <v>7862120000</v>
      </c>
    </row>
    <row r="40" spans="1:6" x14ac:dyDescent="0.2">
      <c r="A40" s="1">
        <v>46204</v>
      </c>
      <c r="B40" t="s">
        <v>7</v>
      </c>
      <c r="C40" s="17" t="s">
        <v>52</v>
      </c>
      <c r="D40" s="32">
        <v>9443133</v>
      </c>
      <c r="E40" s="14">
        <f t="shared" si="5"/>
        <v>9443133000</v>
      </c>
      <c r="F40" s="31">
        <f t="shared" si="3"/>
        <v>9443133000</v>
      </c>
    </row>
    <row r="41" spans="1:6" x14ac:dyDescent="0.2">
      <c r="A41" s="1">
        <v>46235</v>
      </c>
      <c r="B41" t="s">
        <v>7</v>
      </c>
      <c r="C41" s="17" t="s">
        <v>52</v>
      </c>
      <c r="D41" s="32">
        <v>10496828</v>
      </c>
      <c r="E41" s="14">
        <f t="shared" si="5"/>
        <v>10496828000</v>
      </c>
      <c r="F41" s="31">
        <f t="shared" si="3"/>
        <v>10496828000</v>
      </c>
    </row>
    <row r="42" spans="1:6" x14ac:dyDescent="0.2">
      <c r="A42" s="1">
        <v>46266</v>
      </c>
      <c r="B42" t="s">
        <v>7</v>
      </c>
      <c r="C42" s="17" t="s">
        <v>52</v>
      </c>
      <c r="D42" s="32">
        <v>12925605</v>
      </c>
      <c r="E42" s="14">
        <f t="shared" si="5"/>
        <v>12925605000</v>
      </c>
      <c r="F42" s="31">
        <f t="shared" si="3"/>
        <v>12925605000</v>
      </c>
    </row>
    <row r="43" spans="1:6" x14ac:dyDescent="0.2">
      <c r="A43" s="1">
        <v>46296</v>
      </c>
      <c r="B43" t="s">
        <v>7</v>
      </c>
      <c r="C43" s="17" t="s">
        <v>52</v>
      </c>
      <c r="D43" s="32">
        <v>11759580</v>
      </c>
      <c r="E43" s="14">
        <f t="shared" si="5"/>
        <v>11759580000</v>
      </c>
      <c r="F43" s="31">
        <f t="shared" si="3"/>
        <v>11759580000</v>
      </c>
    </row>
    <row r="44" spans="1:6" x14ac:dyDescent="0.2">
      <c r="A44" s="1">
        <v>46327</v>
      </c>
      <c r="B44" t="s">
        <v>7</v>
      </c>
      <c r="C44" s="17" t="s">
        <v>52</v>
      </c>
      <c r="D44" s="32">
        <v>11993142</v>
      </c>
      <c r="E44" s="14">
        <f t="shared" si="5"/>
        <v>11993142000</v>
      </c>
      <c r="F44" s="31">
        <f t="shared" si="3"/>
        <v>11993142000</v>
      </c>
    </row>
    <row r="45" spans="1:6" x14ac:dyDescent="0.2">
      <c r="A45" s="1">
        <v>46357</v>
      </c>
      <c r="B45" t="s">
        <v>7</v>
      </c>
      <c r="C45" s="17" t="s">
        <v>52</v>
      </c>
      <c r="D45" s="32">
        <v>14768572</v>
      </c>
      <c r="E45" s="14">
        <f>D45*1000</f>
        <v>14768572000</v>
      </c>
      <c r="F45" s="31">
        <f t="shared" si="3"/>
        <v>14768572000</v>
      </c>
    </row>
    <row r="46" spans="1:6" x14ac:dyDescent="0.2">
      <c r="A46" s="1">
        <v>46023</v>
      </c>
      <c r="B46" t="s">
        <v>7</v>
      </c>
      <c r="C46" s="17" t="s">
        <v>53</v>
      </c>
      <c r="D46" s="31">
        <v>1509057</v>
      </c>
      <c r="E46" s="14">
        <f>D46*1000</f>
        <v>1509057000</v>
      </c>
      <c r="F46" s="31">
        <f t="shared" si="3"/>
        <v>1509057000</v>
      </c>
    </row>
    <row r="47" spans="1:6" x14ac:dyDescent="0.2">
      <c r="A47" s="1">
        <v>46054</v>
      </c>
      <c r="B47" t="s">
        <v>7</v>
      </c>
      <c r="C47" s="17" t="s">
        <v>53</v>
      </c>
      <c r="D47" s="31">
        <v>1426059</v>
      </c>
      <c r="E47" s="14">
        <f t="shared" ref="E47:E49" si="6">D47*1000</f>
        <v>1426059000</v>
      </c>
      <c r="F47" s="31">
        <f t="shared" si="3"/>
        <v>1426059000</v>
      </c>
    </row>
    <row r="48" spans="1:6" x14ac:dyDescent="0.2">
      <c r="A48" s="1">
        <v>46082</v>
      </c>
      <c r="B48" t="s">
        <v>7</v>
      </c>
      <c r="C48" s="17" t="s">
        <v>53</v>
      </c>
      <c r="D48" s="31">
        <v>1397538</v>
      </c>
      <c r="E48" s="14">
        <f t="shared" si="6"/>
        <v>1397538000</v>
      </c>
      <c r="F48" s="31">
        <f t="shared" si="3"/>
        <v>1397538000</v>
      </c>
    </row>
    <row r="49" spans="1:6" x14ac:dyDescent="0.2">
      <c r="A49" s="1">
        <v>46113</v>
      </c>
      <c r="B49" t="s">
        <v>7</v>
      </c>
      <c r="C49" s="17" t="s">
        <v>53</v>
      </c>
      <c r="D49" s="31">
        <v>1369587</v>
      </c>
      <c r="E49" s="14">
        <f t="shared" si="6"/>
        <v>1369587000</v>
      </c>
      <c r="F49" s="31">
        <f t="shared" si="3"/>
        <v>1369587000</v>
      </c>
    </row>
    <row r="50" spans="1:6" x14ac:dyDescent="0.2">
      <c r="A50" s="1">
        <v>46143</v>
      </c>
      <c r="B50" t="s">
        <v>7</v>
      </c>
      <c r="C50" s="17" t="s">
        <v>53</v>
      </c>
      <c r="D50" s="31">
        <v>1342195</v>
      </c>
      <c r="E50" s="14">
        <f>D50*1000</f>
        <v>1342195000</v>
      </c>
      <c r="F50" s="31">
        <f t="shared" si="3"/>
        <v>1342195000</v>
      </c>
    </row>
    <row r="51" spans="1:6" x14ac:dyDescent="0.2">
      <c r="A51" s="1">
        <v>46174</v>
      </c>
      <c r="B51" t="s">
        <v>7</v>
      </c>
      <c r="C51" s="17" t="s">
        <v>53</v>
      </c>
      <c r="D51" s="31">
        <v>1507034</v>
      </c>
      <c r="E51" s="14">
        <f t="shared" ref="E51:E56" si="7">D51*1000</f>
        <v>1507034000</v>
      </c>
      <c r="F51" s="31">
        <f t="shared" si="3"/>
        <v>1507034000</v>
      </c>
    </row>
    <row r="52" spans="1:6" x14ac:dyDescent="0.2">
      <c r="A52" s="1">
        <v>46204</v>
      </c>
      <c r="B52" t="s">
        <v>7</v>
      </c>
      <c r="C52" s="17" t="s">
        <v>53</v>
      </c>
      <c r="D52" s="31">
        <v>1343965</v>
      </c>
      <c r="E52" s="14">
        <f t="shared" si="7"/>
        <v>1343965000</v>
      </c>
      <c r="F52" s="31">
        <f t="shared" si="3"/>
        <v>1343965000</v>
      </c>
    </row>
    <row r="53" spans="1:6" x14ac:dyDescent="0.2">
      <c r="A53" s="1">
        <v>46235</v>
      </c>
      <c r="B53" t="s">
        <v>7</v>
      </c>
      <c r="C53" s="17" t="s">
        <v>53</v>
      </c>
      <c r="D53" s="31">
        <v>1410248</v>
      </c>
      <c r="E53" s="14">
        <f t="shared" si="7"/>
        <v>1410248000</v>
      </c>
      <c r="F53" s="31">
        <f t="shared" si="3"/>
        <v>1410248000</v>
      </c>
    </row>
    <row r="54" spans="1:6" x14ac:dyDescent="0.2">
      <c r="A54" s="1">
        <v>46266</v>
      </c>
      <c r="B54" t="s">
        <v>7</v>
      </c>
      <c r="C54" s="17" t="s">
        <v>53</v>
      </c>
      <c r="D54" s="31">
        <v>2243461</v>
      </c>
      <c r="E54" s="14">
        <f t="shared" si="7"/>
        <v>2243461000</v>
      </c>
      <c r="F54" s="31">
        <f t="shared" si="3"/>
        <v>2243461000</v>
      </c>
    </row>
    <row r="55" spans="1:6" x14ac:dyDescent="0.2">
      <c r="A55" s="1">
        <v>46296</v>
      </c>
      <c r="B55" t="s">
        <v>7</v>
      </c>
      <c r="C55" s="17" t="s">
        <v>53</v>
      </c>
      <c r="D55" s="31">
        <v>2032615</v>
      </c>
      <c r="E55" s="14">
        <f t="shared" si="7"/>
        <v>2032615000</v>
      </c>
      <c r="F55" s="31">
        <f t="shared" si="3"/>
        <v>2032615000</v>
      </c>
    </row>
    <row r="56" spans="1:6" x14ac:dyDescent="0.2">
      <c r="A56" s="1">
        <v>46327</v>
      </c>
      <c r="B56" t="s">
        <v>7</v>
      </c>
      <c r="C56" s="17" t="s">
        <v>53</v>
      </c>
      <c r="D56" s="31">
        <v>2681790</v>
      </c>
      <c r="E56" s="14">
        <f t="shared" si="7"/>
        <v>2681790000</v>
      </c>
      <c r="F56" s="31">
        <f t="shared" si="3"/>
        <v>2681790000</v>
      </c>
    </row>
    <row r="57" spans="1:6" x14ac:dyDescent="0.2">
      <c r="A57" s="1">
        <v>46357</v>
      </c>
      <c r="B57" t="s">
        <v>7</v>
      </c>
      <c r="C57" s="17" t="s">
        <v>53</v>
      </c>
      <c r="D57" s="31">
        <v>4882312</v>
      </c>
      <c r="E57" s="14">
        <f>D57*1000</f>
        <v>4882312000</v>
      </c>
      <c r="F57" s="31">
        <f t="shared" si="3"/>
        <v>4882312000</v>
      </c>
    </row>
    <row r="58" spans="1:6" x14ac:dyDescent="0.2">
      <c r="A58" s="1">
        <v>45839</v>
      </c>
      <c r="B58" s="18" t="s">
        <v>6</v>
      </c>
      <c r="C58" s="17" t="s">
        <v>54</v>
      </c>
      <c r="D58" s="32">
        <v>701076</v>
      </c>
      <c r="E58" s="14">
        <f t="shared" ref="E58:E121" si="8">D58*1000</f>
        <v>701076000</v>
      </c>
      <c r="F58" s="31">
        <f t="shared" si="3"/>
        <v>701076000</v>
      </c>
    </row>
    <row r="59" spans="1:6" x14ac:dyDescent="0.2">
      <c r="A59" s="1">
        <v>45870</v>
      </c>
      <c r="B59" s="18" t="s">
        <v>6</v>
      </c>
      <c r="C59" s="17" t="s">
        <v>54</v>
      </c>
      <c r="D59" s="32">
        <v>32032</v>
      </c>
      <c r="E59" s="14">
        <f t="shared" si="8"/>
        <v>32032000</v>
      </c>
      <c r="F59" s="31">
        <f t="shared" si="3"/>
        <v>32032000</v>
      </c>
    </row>
    <row r="60" spans="1:6" x14ac:dyDescent="0.2">
      <c r="A60" s="1">
        <v>45901</v>
      </c>
      <c r="B60" s="18" t="s">
        <v>6</v>
      </c>
      <c r="C60" s="17" t="s">
        <v>54</v>
      </c>
      <c r="D60" s="32">
        <v>3694253</v>
      </c>
      <c r="E60" s="14">
        <f t="shared" si="8"/>
        <v>3694253000</v>
      </c>
      <c r="F60" s="31">
        <f t="shared" si="3"/>
        <v>3694253000</v>
      </c>
    </row>
    <row r="61" spans="1:6" x14ac:dyDescent="0.2">
      <c r="A61" s="1">
        <v>45931</v>
      </c>
      <c r="B61" s="18" t="s">
        <v>6</v>
      </c>
      <c r="C61" s="17" t="s">
        <v>54</v>
      </c>
      <c r="D61" s="32">
        <v>4106179</v>
      </c>
      <c r="E61" s="14">
        <f t="shared" si="8"/>
        <v>4106179000</v>
      </c>
      <c r="F61" s="31">
        <f t="shared" si="3"/>
        <v>4106179000</v>
      </c>
    </row>
    <row r="62" spans="1:6" x14ac:dyDescent="0.2">
      <c r="A62" s="1">
        <v>45962</v>
      </c>
      <c r="B62" s="18" t="s">
        <v>6</v>
      </c>
      <c r="C62" s="17" t="s">
        <v>54</v>
      </c>
      <c r="D62" s="32">
        <v>5774106</v>
      </c>
      <c r="E62" s="14">
        <f t="shared" si="8"/>
        <v>5774106000</v>
      </c>
      <c r="F62" s="31">
        <f t="shared" si="3"/>
        <v>5774106000</v>
      </c>
    </row>
    <row r="63" spans="1:6" x14ac:dyDescent="0.2">
      <c r="A63" s="1">
        <v>45992</v>
      </c>
      <c r="B63" s="18" t="s">
        <v>6</v>
      </c>
      <c r="C63" s="17" t="s">
        <v>54</v>
      </c>
      <c r="D63" s="32">
        <v>7253101</v>
      </c>
      <c r="E63" s="14">
        <f t="shared" si="8"/>
        <v>7253101000</v>
      </c>
      <c r="F63" s="31">
        <f t="shared" si="3"/>
        <v>7253101000</v>
      </c>
    </row>
    <row r="64" spans="1:6" x14ac:dyDescent="0.2">
      <c r="A64" s="1">
        <v>46023</v>
      </c>
      <c r="B64" s="18" t="s">
        <v>6</v>
      </c>
      <c r="C64" s="17" t="s">
        <v>54</v>
      </c>
      <c r="D64" s="32">
        <v>6160000</v>
      </c>
      <c r="E64" s="14">
        <f t="shared" si="8"/>
        <v>6160000000</v>
      </c>
      <c r="F64" s="31">
        <f t="shared" si="3"/>
        <v>6160000000</v>
      </c>
    </row>
    <row r="65" spans="1:6" x14ac:dyDescent="0.2">
      <c r="A65" s="1">
        <v>46054</v>
      </c>
      <c r="B65" s="18" t="s">
        <v>6</v>
      </c>
      <c r="C65" s="17" t="s">
        <v>54</v>
      </c>
      <c r="D65" s="32">
        <v>2240000</v>
      </c>
      <c r="E65" s="14">
        <f t="shared" si="8"/>
        <v>2240000000</v>
      </c>
      <c r="F65" s="31">
        <f t="shared" si="3"/>
        <v>2240000000</v>
      </c>
    </row>
    <row r="66" spans="1:6" x14ac:dyDescent="0.2">
      <c r="A66" s="1">
        <v>46082</v>
      </c>
      <c r="B66" s="18" t="s">
        <v>6</v>
      </c>
      <c r="C66" s="17" t="s">
        <v>54</v>
      </c>
      <c r="D66" s="32">
        <v>2240000</v>
      </c>
      <c r="E66" s="14">
        <f t="shared" si="8"/>
        <v>2240000000</v>
      </c>
      <c r="F66" s="31">
        <f t="shared" si="3"/>
        <v>2240000000</v>
      </c>
    </row>
    <row r="67" spans="1:6" x14ac:dyDescent="0.2">
      <c r="A67" s="1">
        <v>46113</v>
      </c>
      <c r="B67" s="18" t="s">
        <v>6</v>
      </c>
      <c r="C67" s="17" t="s">
        <v>54</v>
      </c>
      <c r="D67" s="32">
        <v>2240000</v>
      </c>
      <c r="E67" s="14">
        <f t="shared" si="8"/>
        <v>2240000000</v>
      </c>
      <c r="F67" s="31">
        <f t="shared" si="3"/>
        <v>2240000000</v>
      </c>
    </row>
    <row r="68" spans="1:6" x14ac:dyDescent="0.2">
      <c r="A68" s="1">
        <v>46143</v>
      </c>
      <c r="B68" s="18" t="s">
        <v>6</v>
      </c>
      <c r="C68" s="17" t="s">
        <v>54</v>
      </c>
      <c r="D68" s="32">
        <v>2240000</v>
      </c>
      <c r="E68" s="14">
        <f t="shared" si="8"/>
        <v>2240000000</v>
      </c>
      <c r="F68" s="31">
        <f t="shared" si="3"/>
        <v>2240000000</v>
      </c>
    </row>
    <row r="69" spans="1:6" x14ac:dyDescent="0.2">
      <c r="A69" s="1">
        <v>46174</v>
      </c>
      <c r="B69" s="18" t="s">
        <v>6</v>
      </c>
      <c r="C69" s="17" t="s">
        <v>54</v>
      </c>
      <c r="D69" s="32">
        <v>3143000</v>
      </c>
      <c r="E69" s="14">
        <f t="shared" si="8"/>
        <v>3143000000</v>
      </c>
      <c r="F69" s="31">
        <f t="shared" si="3"/>
        <v>3143000000</v>
      </c>
    </row>
    <row r="70" spans="1:6" x14ac:dyDescent="0.2">
      <c r="A70" s="1">
        <v>46204</v>
      </c>
      <c r="B70" s="18" t="s">
        <v>6</v>
      </c>
      <c r="C70" s="17" t="s">
        <v>54</v>
      </c>
      <c r="D70" s="32">
        <v>2324000</v>
      </c>
      <c r="E70" s="14">
        <f t="shared" si="8"/>
        <v>2324000000</v>
      </c>
      <c r="F70" s="31">
        <f t="shared" si="3"/>
        <v>2324000000</v>
      </c>
    </row>
    <row r="71" spans="1:6" x14ac:dyDescent="0.2">
      <c r="A71" s="1">
        <v>46235</v>
      </c>
      <c r="B71" s="18" t="s">
        <v>6</v>
      </c>
      <c r="C71" s="17" t="s">
        <v>54</v>
      </c>
      <c r="D71" s="32">
        <v>2633750</v>
      </c>
      <c r="E71" s="14">
        <f t="shared" si="8"/>
        <v>2633750000</v>
      </c>
      <c r="F71" s="31">
        <f t="shared" ref="D71:F134" si="9">ROUND(E71,0)</f>
        <v>2633750000</v>
      </c>
    </row>
    <row r="72" spans="1:6" x14ac:dyDescent="0.2">
      <c r="A72" s="1">
        <v>46266</v>
      </c>
      <c r="B72" s="18" t="s">
        <v>6</v>
      </c>
      <c r="C72" s="17" t="s">
        <v>54</v>
      </c>
      <c r="D72" s="32">
        <v>6476750</v>
      </c>
      <c r="E72" s="14">
        <f t="shared" si="8"/>
        <v>6476750000</v>
      </c>
      <c r="F72" s="31">
        <f t="shared" si="9"/>
        <v>6476750000</v>
      </c>
    </row>
    <row r="73" spans="1:6" x14ac:dyDescent="0.2">
      <c r="A73" s="1">
        <v>46296</v>
      </c>
      <c r="B73" s="18" t="s">
        <v>6</v>
      </c>
      <c r="C73" s="17" t="s">
        <v>54</v>
      </c>
      <c r="D73" s="32">
        <v>5552750</v>
      </c>
      <c r="E73" s="14">
        <f t="shared" si="8"/>
        <v>5552750000</v>
      </c>
      <c r="F73" s="31">
        <f t="shared" si="9"/>
        <v>5552750000</v>
      </c>
    </row>
    <row r="74" spans="1:6" x14ac:dyDescent="0.2">
      <c r="A74" s="1">
        <v>46327</v>
      </c>
      <c r="B74" s="18" t="s">
        <v>6</v>
      </c>
      <c r="C74" s="17" t="s">
        <v>54</v>
      </c>
      <c r="D74" s="32">
        <v>8639750</v>
      </c>
      <c r="E74" s="14">
        <f t="shared" si="8"/>
        <v>8639750000</v>
      </c>
      <c r="F74" s="31">
        <f t="shared" si="9"/>
        <v>8639750000</v>
      </c>
    </row>
    <row r="75" spans="1:6" x14ac:dyDescent="0.2">
      <c r="A75" s="1">
        <v>46357</v>
      </c>
      <c r="B75" s="18" t="s">
        <v>6</v>
      </c>
      <c r="C75" s="17" t="s">
        <v>54</v>
      </c>
      <c r="D75" s="32">
        <v>18063500</v>
      </c>
      <c r="E75" s="14">
        <f t="shared" si="8"/>
        <v>18063500000</v>
      </c>
      <c r="F75" s="31">
        <f t="shared" si="9"/>
        <v>18063500000</v>
      </c>
    </row>
    <row r="76" spans="1:6" x14ac:dyDescent="0.2">
      <c r="A76" s="1">
        <v>46023</v>
      </c>
      <c r="B76" s="18" t="s">
        <v>6</v>
      </c>
      <c r="C76" s="17" t="s">
        <v>55</v>
      </c>
      <c r="D76" s="31">
        <v>529000</v>
      </c>
      <c r="E76" s="14">
        <f t="shared" si="8"/>
        <v>529000000</v>
      </c>
      <c r="F76" s="31">
        <f t="shared" si="9"/>
        <v>529000000</v>
      </c>
    </row>
    <row r="77" spans="1:6" x14ac:dyDescent="0.2">
      <c r="A77" s="1">
        <v>46054</v>
      </c>
      <c r="B77" s="18" t="s">
        <v>6</v>
      </c>
      <c r="C77" s="17" t="s">
        <v>55</v>
      </c>
      <c r="D77" s="31">
        <v>192364</v>
      </c>
      <c r="E77" s="14">
        <f t="shared" si="8"/>
        <v>192364000</v>
      </c>
      <c r="F77" s="31">
        <f t="shared" si="9"/>
        <v>192364000</v>
      </c>
    </row>
    <row r="78" spans="1:6" x14ac:dyDescent="0.2">
      <c r="A78" s="1">
        <v>46082</v>
      </c>
      <c r="B78" s="18" t="s">
        <v>6</v>
      </c>
      <c r="C78" s="17" t="s">
        <v>55</v>
      </c>
      <c r="D78" s="31">
        <v>192364</v>
      </c>
      <c r="E78" s="14">
        <f t="shared" si="8"/>
        <v>192364000</v>
      </c>
      <c r="F78" s="31">
        <f t="shared" si="9"/>
        <v>192364000</v>
      </c>
    </row>
    <row r="79" spans="1:6" x14ac:dyDescent="0.2">
      <c r="A79" s="1">
        <v>46113</v>
      </c>
      <c r="B79" s="18" t="s">
        <v>6</v>
      </c>
      <c r="C79" s="17" t="s">
        <v>55</v>
      </c>
      <c r="D79" s="31">
        <v>192364</v>
      </c>
      <c r="E79" s="14">
        <f t="shared" si="8"/>
        <v>192364000</v>
      </c>
      <c r="F79" s="31">
        <f t="shared" si="9"/>
        <v>192364000</v>
      </c>
    </row>
    <row r="80" spans="1:6" x14ac:dyDescent="0.2">
      <c r="A80" s="1">
        <v>46143</v>
      </c>
      <c r="B80" s="18" t="s">
        <v>6</v>
      </c>
      <c r="C80" s="17" t="s">
        <v>55</v>
      </c>
      <c r="D80" s="31">
        <v>192364</v>
      </c>
      <c r="E80" s="14">
        <f t="shared" si="8"/>
        <v>192364000</v>
      </c>
      <c r="F80" s="31">
        <f t="shared" si="9"/>
        <v>192364000</v>
      </c>
    </row>
    <row r="81" spans="1:6" x14ac:dyDescent="0.2">
      <c r="A81" s="1">
        <v>46174</v>
      </c>
      <c r="B81" s="18" t="s">
        <v>6</v>
      </c>
      <c r="C81" s="17" t="s">
        <v>55</v>
      </c>
      <c r="D81" s="31">
        <v>300176</v>
      </c>
      <c r="E81" s="14">
        <f t="shared" si="8"/>
        <v>300176000</v>
      </c>
      <c r="F81" s="31">
        <f t="shared" si="9"/>
        <v>300176000</v>
      </c>
    </row>
    <row r="82" spans="1:6" x14ac:dyDescent="0.2">
      <c r="A82" s="1">
        <v>46204</v>
      </c>
      <c r="B82" s="18" t="s">
        <v>6</v>
      </c>
      <c r="C82" s="17" t="s">
        <v>55</v>
      </c>
      <c r="D82" s="31">
        <v>199264</v>
      </c>
      <c r="E82" s="14">
        <f t="shared" si="8"/>
        <v>199264000</v>
      </c>
      <c r="F82" s="31">
        <f t="shared" si="9"/>
        <v>199264000</v>
      </c>
    </row>
    <row r="83" spans="1:6" x14ac:dyDescent="0.2">
      <c r="A83" s="1">
        <v>46235</v>
      </c>
      <c r="B83" s="18" t="s">
        <v>6</v>
      </c>
      <c r="C83" s="17" t="s">
        <v>55</v>
      </c>
      <c r="D83" s="31">
        <v>207026</v>
      </c>
      <c r="E83" s="14">
        <f t="shared" si="8"/>
        <v>207026000</v>
      </c>
      <c r="F83" s="31">
        <f t="shared" si="9"/>
        <v>207026000</v>
      </c>
    </row>
    <row r="84" spans="1:6" x14ac:dyDescent="0.2">
      <c r="A84" s="1">
        <v>46266</v>
      </c>
      <c r="B84" s="18" t="s">
        <v>6</v>
      </c>
      <c r="C84" s="17" t="s">
        <v>55</v>
      </c>
      <c r="D84" s="31">
        <v>235489</v>
      </c>
      <c r="E84" s="14">
        <f t="shared" si="8"/>
        <v>235489000</v>
      </c>
      <c r="F84" s="31">
        <f t="shared" si="9"/>
        <v>235489000</v>
      </c>
    </row>
    <row r="85" spans="1:6" x14ac:dyDescent="0.2">
      <c r="A85" s="1">
        <v>46296</v>
      </c>
      <c r="B85" s="18" t="s">
        <v>6</v>
      </c>
      <c r="C85" s="17" t="s">
        <v>55</v>
      </c>
      <c r="D85" s="31">
        <v>262226</v>
      </c>
      <c r="E85" s="14">
        <f t="shared" si="8"/>
        <v>262226000</v>
      </c>
      <c r="F85" s="31">
        <f t="shared" si="9"/>
        <v>262226000</v>
      </c>
    </row>
    <row r="86" spans="1:6" x14ac:dyDescent="0.2">
      <c r="A86" s="1">
        <v>46327</v>
      </c>
      <c r="B86" s="18" t="s">
        <v>6</v>
      </c>
      <c r="C86" s="17" t="s">
        <v>55</v>
      </c>
      <c r="D86" s="31">
        <v>258776</v>
      </c>
      <c r="E86" s="14">
        <f t="shared" si="8"/>
        <v>258776000</v>
      </c>
      <c r="F86" s="31">
        <f t="shared" si="9"/>
        <v>258776000</v>
      </c>
    </row>
    <row r="87" spans="1:6" x14ac:dyDescent="0.2">
      <c r="A87" s="1">
        <v>46357</v>
      </c>
      <c r="B87" s="18" t="s">
        <v>6</v>
      </c>
      <c r="C87" s="17" t="s">
        <v>55</v>
      </c>
      <c r="D87" s="31">
        <v>2188189</v>
      </c>
      <c r="E87" s="14">
        <f t="shared" si="8"/>
        <v>2188189000</v>
      </c>
      <c r="F87" s="31">
        <f t="shared" si="9"/>
        <v>2188189000</v>
      </c>
    </row>
    <row r="88" spans="1:6" x14ac:dyDescent="0.2">
      <c r="A88" s="1">
        <v>46023</v>
      </c>
      <c r="B88" s="18" t="s">
        <v>6</v>
      </c>
      <c r="C88" s="17" t="s">
        <v>56</v>
      </c>
      <c r="D88" s="31">
        <v>6020000</v>
      </c>
      <c r="E88" s="14">
        <f t="shared" si="8"/>
        <v>6020000000</v>
      </c>
      <c r="F88" s="31">
        <f t="shared" si="9"/>
        <v>6020000000</v>
      </c>
    </row>
    <row r="89" spans="1:6" x14ac:dyDescent="0.2">
      <c r="A89" s="1">
        <v>46054</v>
      </c>
      <c r="B89" s="18" t="s">
        <v>6</v>
      </c>
      <c r="C89" s="17" t="s">
        <v>56</v>
      </c>
      <c r="D89" s="31">
        <v>2189091</v>
      </c>
      <c r="E89" s="14">
        <f t="shared" si="8"/>
        <v>2189091000</v>
      </c>
      <c r="F89" s="31">
        <f t="shared" si="9"/>
        <v>2189091000</v>
      </c>
    </row>
    <row r="90" spans="1:6" x14ac:dyDescent="0.2">
      <c r="A90" s="1">
        <v>46082</v>
      </c>
      <c r="B90" s="18" t="s">
        <v>6</v>
      </c>
      <c r="C90" s="17" t="s">
        <v>56</v>
      </c>
      <c r="D90" s="31">
        <v>2189091</v>
      </c>
      <c r="E90" s="14">
        <f t="shared" si="8"/>
        <v>2189091000</v>
      </c>
      <c r="F90" s="31">
        <f t="shared" si="9"/>
        <v>2189091000</v>
      </c>
    </row>
    <row r="91" spans="1:6" x14ac:dyDescent="0.2">
      <c r="A91" s="1">
        <v>46113</v>
      </c>
      <c r="B91" s="18" t="s">
        <v>6</v>
      </c>
      <c r="C91" s="17" t="s">
        <v>56</v>
      </c>
      <c r="D91" s="31">
        <v>2189091</v>
      </c>
      <c r="E91" s="14">
        <f t="shared" si="8"/>
        <v>2189091000</v>
      </c>
      <c r="F91" s="31">
        <f t="shared" si="9"/>
        <v>2189091000</v>
      </c>
    </row>
    <row r="92" spans="1:6" x14ac:dyDescent="0.2">
      <c r="A92" s="1">
        <v>46143</v>
      </c>
      <c r="B92" s="18" t="s">
        <v>6</v>
      </c>
      <c r="C92" s="17" t="s">
        <v>56</v>
      </c>
      <c r="D92" s="31">
        <v>2189091</v>
      </c>
      <c r="E92" s="14">
        <f t="shared" si="8"/>
        <v>2189091000</v>
      </c>
      <c r="F92" s="31">
        <f t="shared" si="9"/>
        <v>2189091000</v>
      </c>
    </row>
    <row r="93" spans="1:6" x14ac:dyDescent="0.2">
      <c r="A93" s="1">
        <v>46174</v>
      </c>
      <c r="B93" s="18" t="s">
        <v>6</v>
      </c>
      <c r="C93" s="17" t="s">
        <v>56</v>
      </c>
      <c r="D93" s="31">
        <v>2189091</v>
      </c>
      <c r="E93" s="14">
        <f t="shared" si="8"/>
        <v>2189091000</v>
      </c>
      <c r="F93" s="31">
        <f t="shared" si="9"/>
        <v>2189091000</v>
      </c>
    </row>
    <row r="94" spans="1:6" x14ac:dyDescent="0.2">
      <c r="A94" s="1">
        <v>46204</v>
      </c>
      <c r="B94" s="18" t="s">
        <v>6</v>
      </c>
      <c r="C94" s="17" t="s">
        <v>56</v>
      </c>
      <c r="D94" s="31">
        <v>2194341</v>
      </c>
      <c r="E94" s="14">
        <f t="shared" si="8"/>
        <v>2194341000</v>
      </c>
      <c r="F94" s="31">
        <f t="shared" si="9"/>
        <v>2194341000</v>
      </c>
    </row>
    <row r="95" spans="1:6" x14ac:dyDescent="0.2">
      <c r="A95" s="1">
        <v>46235</v>
      </c>
      <c r="B95" s="18" t="s">
        <v>6</v>
      </c>
      <c r="C95" s="17" t="s">
        <v>56</v>
      </c>
      <c r="D95" s="31">
        <v>2189091</v>
      </c>
      <c r="E95" s="14">
        <f t="shared" si="8"/>
        <v>2189091000</v>
      </c>
      <c r="F95" s="31">
        <f t="shared" si="9"/>
        <v>2189091000</v>
      </c>
    </row>
    <row r="96" spans="1:6" x14ac:dyDescent="0.2">
      <c r="A96" s="1">
        <v>46266</v>
      </c>
      <c r="B96" s="18" t="s">
        <v>6</v>
      </c>
      <c r="C96" s="17" t="s">
        <v>56</v>
      </c>
      <c r="D96" s="31">
        <v>2462091</v>
      </c>
      <c r="E96" s="14">
        <f t="shared" si="8"/>
        <v>2462091000</v>
      </c>
      <c r="F96" s="31">
        <f t="shared" si="9"/>
        <v>2462091000</v>
      </c>
    </row>
    <row r="97" spans="1:6" x14ac:dyDescent="0.2">
      <c r="A97" s="1">
        <v>46296</v>
      </c>
      <c r="B97" s="18" t="s">
        <v>6</v>
      </c>
      <c r="C97" s="17" t="s">
        <v>56</v>
      </c>
      <c r="D97" s="31">
        <v>2698341</v>
      </c>
      <c r="E97" s="14">
        <f t="shared" si="8"/>
        <v>2698341000</v>
      </c>
      <c r="F97" s="31">
        <f t="shared" si="9"/>
        <v>2698341000</v>
      </c>
    </row>
    <row r="98" spans="1:6" x14ac:dyDescent="0.2">
      <c r="A98" s="1">
        <v>46327</v>
      </c>
      <c r="B98" s="18" t="s">
        <v>6</v>
      </c>
      <c r="C98" s="17" t="s">
        <v>56</v>
      </c>
      <c r="D98" s="31">
        <v>3071091</v>
      </c>
      <c r="E98" s="14">
        <f t="shared" si="8"/>
        <v>3071091000</v>
      </c>
      <c r="F98" s="31">
        <f t="shared" si="9"/>
        <v>3071091000</v>
      </c>
    </row>
    <row r="99" spans="1:6" x14ac:dyDescent="0.2">
      <c r="A99" s="1">
        <v>46357</v>
      </c>
      <c r="B99" s="18" t="s">
        <v>6</v>
      </c>
      <c r="C99" s="17" t="s">
        <v>56</v>
      </c>
      <c r="D99" s="31">
        <v>6977091</v>
      </c>
      <c r="E99" s="14">
        <f t="shared" si="8"/>
        <v>6977091000</v>
      </c>
      <c r="F99" s="31">
        <f t="shared" si="9"/>
        <v>6977091000</v>
      </c>
    </row>
    <row r="100" spans="1:6" x14ac:dyDescent="0.2">
      <c r="A100" s="1">
        <v>45901</v>
      </c>
      <c r="B100" s="18" t="s">
        <v>8</v>
      </c>
      <c r="C100" s="17" t="s">
        <v>57</v>
      </c>
      <c r="D100" s="31">
        <v>1059719</v>
      </c>
      <c r="E100" s="14">
        <f t="shared" si="8"/>
        <v>1059719000</v>
      </c>
      <c r="F100" s="31">
        <f t="shared" si="9"/>
        <v>1059719000</v>
      </c>
    </row>
    <row r="101" spans="1:6" x14ac:dyDescent="0.2">
      <c r="A101" s="1">
        <v>45931</v>
      </c>
      <c r="B101" s="18" t="s">
        <v>8</v>
      </c>
      <c r="C101" s="17" t="s">
        <v>57</v>
      </c>
      <c r="D101" s="31">
        <v>573970</v>
      </c>
      <c r="E101" s="14">
        <f t="shared" si="8"/>
        <v>573970000</v>
      </c>
      <c r="F101" s="31">
        <f t="shared" si="9"/>
        <v>573970000</v>
      </c>
    </row>
    <row r="102" spans="1:6" x14ac:dyDescent="0.2">
      <c r="A102" s="1">
        <v>45962</v>
      </c>
      <c r="B102" s="18" t="s">
        <v>8</v>
      </c>
      <c r="C102" s="17" t="s">
        <v>57</v>
      </c>
      <c r="D102" s="31">
        <v>966272</v>
      </c>
      <c r="E102" s="14">
        <f t="shared" si="8"/>
        <v>966272000</v>
      </c>
      <c r="F102" s="31">
        <f t="shared" si="9"/>
        <v>966272000</v>
      </c>
    </row>
    <row r="103" spans="1:6" x14ac:dyDescent="0.2">
      <c r="A103" s="1">
        <v>45992</v>
      </c>
      <c r="B103" s="18" t="s">
        <v>8</v>
      </c>
      <c r="C103" s="17" t="s">
        <v>57</v>
      </c>
      <c r="D103" s="31">
        <v>1485605</v>
      </c>
      <c r="E103" s="14">
        <f t="shared" si="8"/>
        <v>1485605000</v>
      </c>
      <c r="F103" s="31">
        <f t="shared" si="9"/>
        <v>1485605000</v>
      </c>
    </row>
    <row r="104" spans="1:6" x14ac:dyDescent="0.2">
      <c r="A104" s="1">
        <v>46023</v>
      </c>
      <c r="B104" s="18" t="s">
        <v>8</v>
      </c>
      <c r="C104" s="17" t="s">
        <v>57</v>
      </c>
      <c r="D104" s="31">
        <v>2125000</v>
      </c>
      <c r="E104" s="14">
        <f t="shared" si="8"/>
        <v>2125000000</v>
      </c>
      <c r="F104" s="31">
        <f t="shared" si="9"/>
        <v>2125000000</v>
      </c>
    </row>
    <row r="105" spans="1:6" x14ac:dyDescent="0.2">
      <c r="A105" s="1">
        <v>46054</v>
      </c>
      <c r="B105" s="18" t="s">
        <v>8</v>
      </c>
      <c r="C105" s="17" t="s">
        <v>57</v>
      </c>
      <c r="D105" s="31">
        <v>772727</v>
      </c>
      <c r="E105" s="14">
        <f t="shared" si="8"/>
        <v>772727000</v>
      </c>
      <c r="F105" s="31">
        <f t="shared" si="9"/>
        <v>772727000</v>
      </c>
    </row>
    <row r="106" spans="1:6" x14ac:dyDescent="0.2">
      <c r="A106" s="1">
        <v>46082</v>
      </c>
      <c r="B106" s="18" t="s">
        <v>8</v>
      </c>
      <c r="C106" s="17" t="s">
        <v>57</v>
      </c>
      <c r="D106" s="31">
        <v>772727</v>
      </c>
      <c r="E106" s="14">
        <f t="shared" si="8"/>
        <v>772727000</v>
      </c>
      <c r="F106" s="31">
        <f t="shared" si="9"/>
        <v>772727000</v>
      </c>
    </row>
    <row r="107" spans="1:6" x14ac:dyDescent="0.2">
      <c r="A107" s="1">
        <v>46113</v>
      </c>
      <c r="B107" s="18" t="s">
        <v>8</v>
      </c>
      <c r="C107" s="17" t="s">
        <v>57</v>
      </c>
      <c r="D107" s="31">
        <v>772727</v>
      </c>
      <c r="E107" s="14">
        <f t="shared" si="8"/>
        <v>772727000</v>
      </c>
      <c r="F107" s="31">
        <f t="shared" si="9"/>
        <v>772727000</v>
      </c>
    </row>
    <row r="108" spans="1:6" x14ac:dyDescent="0.2">
      <c r="A108" s="1">
        <v>46143</v>
      </c>
      <c r="B108" s="18" t="s">
        <v>8</v>
      </c>
      <c r="C108" s="17" t="s">
        <v>57</v>
      </c>
      <c r="D108" s="31">
        <v>772727</v>
      </c>
      <c r="E108" s="14">
        <f t="shared" si="8"/>
        <v>772727000</v>
      </c>
      <c r="F108" s="31">
        <f t="shared" si="9"/>
        <v>772727000</v>
      </c>
    </row>
    <row r="109" spans="1:6" x14ac:dyDescent="0.2">
      <c r="A109" s="1">
        <v>46174</v>
      </c>
      <c r="B109" s="18" t="s">
        <v>8</v>
      </c>
      <c r="C109" s="17" t="s">
        <v>57</v>
      </c>
      <c r="D109" s="31">
        <v>772727</v>
      </c>
      <c r="E109" s="14">
        <f t="shared" si="8"/>
        <v>772727000</v>
      </c>
      <c r="F109" s="31">
        <f t="shared" si="9"/>
        <v>772727000</v>
      </c>
    </row>
    <row r="110" spans="1:6" x14ac:dyDescent="0.2">
      <c r="A110" s="1">
        <v>46204</v>
      </c>
      <c r="B110" s="18" t="s">
        <v>8</v>
      </c>
      <c r="C110" s="17" t="s">
        <v>57</v>
      </c>
      <c r="D110" s="31">
        <v>772727</v>
      </c>
      <c r="E110" s="14">
        <f t="shared" si="8"/>
        <v>772727000</v>
      </c>
      <c r="F110" s="31">
        <f t="shared" si="9"/>
        <v>772727000</v>
      </c>
    </row>
    <row r="111" spans="1:6" x14ac:dyDescent="0.2">
      <c r="A111" s="1">
        <v>46235</v>
      </c>
      <c r="B111" s="18" t="s">
        <v>8</v>
      </c>
      <c r="C111" s="17" t="s">
        <v>57</v>
      </c>
      <c r="D111" s="31">
        <v>938477</v>
      </c>
      <c r="E111" s="14">
        <f t="shared" si="8"/>
        <v>938477000</v>
      </c>
      <c r="F111" s="31">
        <f t="shared" si="9"/>
        <v>938477000</v>
      </c>
    </row>
    <row r="112" spans="1:6" x14ac:dyDescent="0.2">
      <c r="A112" s="1">
        <v>46266</v>
      </c>
      <c r="B112" s="18" t="s">
        <v>8</v>
      </c>
      <c r="C112" s="17" t="s">
        <v>57</v>
      </c>
      <c r="D112" s="31">
        <v>1403852</v>
      </c>
      <c r="E112" s="14">
        <f t="shared" si="8"/>
        <v>1403852000</v>
      </c>
      <c r="F112" s="31">
        <f t="shared" si="9"/>
        <v>1403852000</v>
      </c>
    </row>
    <row r="113" spans="1:6" x14ac:dyDescent="0.2">
      <c r="A113" s="1">
        <v>46296</v>
      </c>
      <c r="B113" s="18" t="s">
        <v>8</v>
      </c>
      <c r="C113" s="17" t="s">
        <v>57</v>
      </c>
      <c r="D113" s="31">
        <v>1276352</v>
      </c>
      <c r="E113" s="14">
        <f t="shared" si="8"/>
        <v>1276352000</v>
      </c>
      <c r="F113" s="31">
        <f t="shared" si="9"/>
        <v>1276352000</v>
      </c>
    </row>
    <row r="114" spans="1:6" x14ac:dyDescent="0.2">
      <c r="A114" s="1">
        <v>46327</v>
      </c>
      <c r="B114" s="18" t="s">
        <v>8</v>
      </c>
      <c r="C114" s="17" t="s">
        <v>57</v>
      </c>
      <c r="D114" s="31">
        <v>1690727</v>
      </c>
      <c r="E114" s="14">
        <f t="shared" si="8"/>
        <v>1690727000</v>
      </c>
      <c r="F114" s="31">
        <f t="shared" si="9"/>
        <v>1690727000</v>
      </c>
    </row>
    <row r="115" spans="1:6" x14ac:dyDescent="0.2">
      <c r="A115" s="1">
        <v>46357</v>
      </c>
      <c r="B115" s="18" t="s">
        <v>8</v>
      </c>
      <c r="C115" s="17" t="s">
        <v>57</v>
      </c>
      <c r="D115" s="31">
        <v>3061352</v>
      </c>
      <c r="E115" s="14">
        <f t="shared" si="8"/>
        <v>3061352000</v>
      </c>
      <c r="F115" s="31">
        <f t="shared" si="9"/>
        <v>3061352000</v>
      </c>
    </row>
    <row r="116" spans="1:6" x14ac:dyDescent="0.2">
      <c r="A116" s="1">
        <v>46023</v>
      </c>
      <c r="B116" t="s">
        <v>8</v>
      </c>
      <c r="C116" s="17" t="s">
        <v>58</v>
      </c>
      <c r="D116" s="32">
        <v>84000</v>
      </c>
      <c r="E116" s="14">
        <f t="shared" si="8"/>
        <v>84000000</v>
      </c>
      <c r="F116" s="31">
        <f t="shared" si="9"/>
        <v>84000000</v>
      </c>
    </row>
    <row r="117" spans="1:6" x14ac:dyDescent="0.2">
      <c r="A117" s="1">
        <v>46054</v>
      </c>
      <c r="B117" t="s">
        <v>8</v>
      </c>
      <c r="C117" s="17" t="s">
        <v>58</v>
      </c>
      <c r="D117" s="32">
        <v>30545</v>
      </c>
      <c r="E117" s="14">
        <f t="shared" si="8"/>
        <v>30545000</v>
      </c>
      <c r="F117" s="31">
        <f t="shared" si="9"/>
        <v>30545000</v>
      </c>
    </row>
    <row r="118" spans="1:6" x14ac:dyDescent="0.2">
      <c r="A118" s="1">
        <v>46082</v>
      </c>
      <c r="B118" t="s">
        <v>8</v>
      </c>
      <c r="C118" s="17" t="s">
        <v>58</v>
      </c>
      <c r="D118" s="32">
        <v>30545</v>
      </c>
      <c r="E118" s="14">
        <f t="shared" si="8"/>
        <v>30545000</v>
      </c>
      <c r="F118" s="31">
        <f t="shared" si="9"/>
        <v>30545000</v>
      </c>
    </row>
    <row r="119" spans="1:6" x14ac:dyDescent="0.2">
      <c r="A119" s="1">
        <v>46113</v>
      </c>
      <c r="B119" t="s">
        <v>8</v>
      </c>
      <c r="C119" s="17" t="s">
        <v>58</v>
      </c>
      <c r="D119" s="32">
        <v>30545</v>
      </c>
      <c r="E119" s="14">
        <f t="shared" si="8"/>
        <v>30545000</v>
      </c>
      <c r="F119" s="31">
        <f t="shared" si="9"/>
        <v>30545000</v>
      </c>
    </row>
    <row r="120" spans="1:6" x14ac:dyDescent="0.2">
      <c r="A120" s="1">
        <v>46143</v>
      </c>
      <c r="B120" t="s">
        <v>8</v>
      </c>
      <c r="C120" s="17" t="s">
        <v>58</v>
      </c>
      <c r="D120" s="32">
        <v>30545</v>
      </c>
      <c r="E120" s="14">
        <f t="shared" si="8"/>
        <v>30545000</v>
      </c>
      <c r="F120" s="31">
        <f t="shared" si="9"/>
        <v>30545000</v>
      </c>
    </row>
    <row r="121" spans="1:6" x14ac:dyDescent="0.2">
      <c r="A121" s="1">
        <v>46174</v>
      </c>
      <c r="B121" t="s">
        <v>8</v>
      </c>
      <c r="C121" s="17" t="s">
        <v>58</v>
      </c>
      <c r="D121" s="32">
        <v>30545</v>
      </c>
      <c r="E121" s="14">
        <f t="shared" si="8"/>
        <v>30545000</v>
      </c>
      <c r="F121" s="31">
        <f t="shared" si="9"/>
        <v>30545000</v>
      </c>
    </row>
    <row r="122" spans="1:6" x14ac:dyDescent="0.2">
      <c r="A122" s="1">
        <v>46204</v>
      </c>
      <c r="B122" t="s">
        <v>8</v>
      </c>
      <c r="C122" s="17" t="s">
        <v>58</v>
      </c>
      <c r="D122" s="32">
        <v>30545</v>
      </c>
      <c r="E122" s="14">
        <f t="shared" ref="E122:E169" si="10">D122*1000</f>
        <v>30545000</v>
      </c>
      <c r="F122" s="31">
        <f t="shared" si="9"/>
        <v>30545000</v>
      </c>
    </row>
    <row r="123" spans="1:6" x14ac:dyDescent="0.2">
      <c r="A123" s="1">
        <v>46235</v>
      </c>
      <c r="B123" t="s">
        <v>8</v>
      </c>
      <c r="C123" s="17" t="s">
        <v>58</v>
      </c>
      <c r="D123" s="32">
        <v>33695</v>
      </c>
      <c r="E123" s="14">
        <f t="shared" si="10"/>
        <v>33695000</v>
      </c>
      <c r="F123" s="31">
        <f t="shared" si="9"/>
        <v>33695000</v>
      </c>
    </row>
    <row r="124" spans="1:6" x14ac:dyDescent="0.2">
      <c r="A124" s="1">
        <v>46266</v>
      </c>
      <c r="B124" t="s">
        <v>8</v>
      </c>
      <c r="C124" s="17" t="s">
        <v>58</v>
      </c>
      <c r="D124" s="32">
        <v>66770</v>
      </c>
      <c r="E124" s="14">
        <f t="shared" si="10"/>
        <v>66770000</v>
      </c>
      <c r="F124" s="31">
        <f t="shared" si="9"/>
        <v>66770000</v>
      </c>
    </row>
    <row r="125" spans="1:6" x14ac:dyDescent="0.2">
      <c r="A125" s="1">
        <v>46296</v>
      </c>
      <c r="B125" t="s">
        <v>8</v>
      </c>
      <c r="C125" s="17" t="s">
        <v>58</v>
      </c>
      <c r="D125" s="32">
        <v>57320</v>
      </c>
      <c r="E125" s="14">
        <f t="shared" si="10"/>
        <v>57320000</v>
      </c>
      <c r="F125" s="31">
        <f t="shared" si="9"/>
        <v>57320000</v>
      </c>
    </row>
    <row r="126" spans="1:6" x14ac:dyDescent="0.2">
      <c r="A126" s="1">
        <v>46327</v>
      </c>
      <c r="B126" t="s">
        <v>8</v>
      </c>
      <c r="C126" s="17" t="s">
        <v>58</v>
      </c>
      <c r="D126" s="32">
        <v>63620</v>
      </c>
      <c r="E126" s="14">
        <f t="shared" si="10"/>
        <v>63620000</v>
      </c>
      <c r="F126" s="31">
        <f t="shared" si="9"/>
        <v>63620000</v>
      </c>
    </row>
    <row r="127" spans="1:6" x14ac:dyDescent="0.2">
      <c r="A127" s="1">
        <v>46357</v>
      </c>
      <c r="B127" t="s">
        <v>8</v>
      </c>
      <c r="C127" s="17" t="s">
        <v>58</v>
      </c>
      <c r="D127" s="32">
        <v>347120</v>
      </c>
      <c r="E127" s="14">
        <f t="shared" si="10"/>
        <v>347120000</v>
      </c>
      <c r="F127" s="31">
        <f t="shared" si="9"/>
        <v>347120000</v>
      </c>
    </row>
    <row r="128" spans="1:6" x14ac:dyDescent="0.2">
      <c r="A128" s="1">
        <v>46023</v>
      </c>
      <c r="B128" t="s">
        <v>8</v>
      </c>
      <c r="C128" s="17" t="s">
        <v>60</v>
      </c>
      <c r="D128" s="31">
        <v>1440000</v>
      </c>
      <c r="E128" s="14">
        <f t="shared" si="10"/>
        <v>1440000000</v>
      </c>
      <c r="F128" s="31">
        <f t="shared" si="9"/>
        <v>1440000000</v>
      </c>
    </row>
    <row r="129" spans="1:6" x14ac:dyDescent="0.2">
      <c r="A129" s="1">
        <v>46054</v>
      </c>
      <c r="B129" t="s">
        <v>8</v>
      </c>
      <c r="C129" s="17" t="s">
        <v>60</v>
      </c>
      <c r="D129" s="31">
        <v>523636</v>
      </c>
      <c r="E129" s="14">
        <f t="shared" si="10"/>
        <v>523636000</v>
      </c>
      <c r="F129" s="31">
        <f t="shared" si="9"/>
        <v>523636000</v>
      </c>
    </row>
    <row r="130" spans="1:6" x14ac:dyDescent="0.2">
      <c r="A130" s="1">
        <v>46082</v>
      </c>
      <c r="B130" t="s">
        <v>8</v>
      </c>
      <c r="C130" s="17" t="s">
        <v>60</v>
      </c>
      <c r="D130" s="31">
        <v>523636</v>
      </c>
      <c r="E130" s="14">
        <f t="shared" si="10"/>
        <v>523636000</v>
      </c>
      <c r="F130" s="31">
        <f t="shared" si="9"/>
        <v>523636000</v>
      </c>
    </row>
    <row r="131" spans="1:6" x14ac:dyDescent="0.2">
      <c r="A131" s="1">
        <v>46113</v>
      </c>
      <c r="B131" t="s">
        <v>8</v>
      </c>
      <c r="C131" s="17" t="s">
        <v>60</v>
      </c>
      <c r="D131" s="31">
        <v>523636</v>
      </c>
      <c r="E131" s="14">
        <f t="shared" si="10"/>
        <v>523636000</v>
      </c>
      <c r="F131" s="31">
        <f t="shared" si="9"/>
        <v>523636000</v>
      </c>
    </row>
    <row r="132" spans="1:6" x14ac:dyDescent="0.2">
      <c r="A132" s="1">
        <v>46143</v>
      </c>
      <c r="B132" t="s">
        <v>8</v>
      </c>
      <c r="C132" s="17" t="s">
        <v>60</v>
      </c>
      <c r="D132" s="31">
        <v>523636</v>
      </c>
      <c r="E132" s="14">
        <f t="shared" si="10"/>
        <v>523636000</v>
      </c>
      <c r="F132" s="31">
        <f t="shared" si="9"/>
        <v>523636000</v>
      </c>
    </row>
    <row r="133" spans="1:6" x14ac:dyDescent="0.2">
      <c r="A133" s="1">
        <v>46174</v>
      </c>
      <c r="B133" t="s">
        <v>8</v>
      </c>
      <c r="C133" s="17" t="s">
        <v>60</v>
      </c>
      <c r="D133" s="31">
        <v>523636</v>
      </c>
      <c r="E133" s="14">
        <f t="shared" si="10"/>
        <v>523636000</v>
      </c>
      <c r="F133" s="31">
        <f t="shared" si="9"/>
        <v>523636000</v>
      </c>
    </row>
    <row r="134" spans="1:6" x14ac:dyDescent="0.2">
      <c r="A134" s="1">
        <v>46204</v>
      </c>
      <c r="B134" t="s">
        <v>8</v>
      </c>
      <c r="C134" s="17" t="s">
        <v>60</v>
      </c>
      <c r="D134" s="31">
        <v>523636</v>
      </c>
      <c r="E134" s="14">
        <f t="shared" si="10"/>
        <v>523636000</v>
      </c>
      <c r="F134" s="31">
        <f t="shared" si="9"/>
        <v>523636000</v>
      </c>
    </row>
    <row r="135" spans="1:6" x14ac:dyDescent="0.2">
      <c r="A135" s="1">
        <v>46235</v>
      </c>
      <c r="B135" t="s">
        <v>8</v>
      </c>
      <c r="C135" s="17" t="s">
        <v>60</v>
      </c>
      <c r="D135" s="31">
        <v>523636</v>
      </c>
      <c r="E135" s="14">
        <f t="shared" si="10"/>
        <v>523636000</v>
      </c>
      <c r="F135" s="31">
        <f t="shared" ref="D135:F170" si="11">ROUND(E135,0)</f>
        <v>523636000</v>
      </c>
    </row>
    <row r="136" spans="1:6" x14ac:dyDescent="0.2">
      <c r="A136" s="1">
        <v>46266</v>
      </c>
      <c r="B136" t="s">
        <v>8</v>
      </c>
      <c r="C136" s="17" t="s">
        <v>60</v>
      </c>
      <c r="D136" s="31">
        <v>523636</v>
      </c>
      <c r="E136" s="14">
        <f t="shared" si="10"/>
        <v>523636000</v>
      </c>
      <c r="F136" s="31">
        <f t="shared" si="11"/>
        <v>523636000</v>
      </c>
    </row>
    <row r="137" spans="1:6" x14ac:dyDescent="0.2">
      <c r="A137" s="1">
        <v>46296</v>
      </c>
      <c r="B137" t="s">
        <v>8</v>
      </c>
      <c r="C137" s="17" t="s">
        <v>60</v>
      </c>
      <c r="D137" s="31">
        <v>523636</v>
      </c>
      <c r="E137" s="14">
        <f t="shared" si="10"/>
        <v>523636000</v>
      </c>
      <c r="F137" s="31">
        <f t="shared" si="11"/>
        <v>523636000</v>
      </c>
    </row>
    <row r="138" spans="1:6" x14ac:dyDescent="0.2">
      <c r="A138" s="1">
        <v>46327</v>
      </c>
      <c r="B138" t="s">
        <v>8</v>
      </c>
      <c r="C138" s="17" t="s">
        <v>60</v>
      </c>
      <c r="D138" s="31">
        <v>523636</v>
      </c>
      <c r="E138" s="14">
        <f t="shared" si="10"/>
        <v>523636000</v>
      </c>
      <c r="F138" s="31">
        <f t="shared" si="11"/>
        <v>523636000</v>
      </c>
    </row>
    <row r="139" spans="1:6" x14ac:dyDescent="0.2">
      <c r="A139" s="1">
        <v>46357</v>
      </c>
      <c r="B139" t="s">
        <v>8</v>
      </c>
      <c r="C139" s="17" t="s">
        <v>60</v>
      </c>
      <c r="D139" s="31">
        <v>523636</v>
      </c>
      <c r="E139" s="14">
        <f t="shared" si="10"/>
        <v>523636000</v>
      </c>
      <c r="F139" s="31">
        <f t="shared" si="11"/>
        <v>523636000</v>
      </c>
    </row>
    <row r="140" spans="1:6" x14ac:dyDescent="0.2">
      <c r="A140" s="1">
        <v>45748</v>
      </c>
      <c r="B140" t="s">
        <v>9</v>
      </c>
      <c r="C140" s="17" t="s">
        <v>59</v>
      </c>
      <c r="D140" s="31">
        <v>146943</v>
      </c>
      <c r="E140" s="14">
        <f t="shared" si="10"/>
        <v>146943000</v>
      </c>
      <c r="F140" s="31">
        <f t="shared" si="11"/>
        <v>146943000</v>
      </c>
    </row>
    <row r="141" spans="1:6" x14ac:dyDescent="0.2">
      <c r="A141" s="1">
        <v>45778</v>
      </c>
      <c r="B141" t="s">
        <v>9</v>
      </c>
      <c r="C141" s="17" t="s">
        <v>59</v>
      </c>
      <c r="D141" s="31">
        <v>154162</v>
      </c>
      <c r="E141" s="14">
        <f t="shared" si="10"/>
        <v>154162000</v>
      </c>
      <c r="F141" s="31">
        <f t="shared" si="11"/>
        <v>154162000</v>
      </c>
    </row>
    <row r="142" spans="1:6" x14ac:dyDescent="0.2">
      <c r="A142" s="1">
        <v>45809</v>
      </c>
      <c r="B142" t="s">
        <v>9</v>
      </c>
      <c r="C142" s="17" t="s">
        <v>59</v>
      </c>
      <c r="D142" s="31">
        <v>149532</v>
      </c>
      <c r="E142" s="14">
        <f t="shared" si="10"/>
        <v>149532000</v>
      </c>
      <c r="F142" s="31">
        <f t="shared" si="11"/>
        <v>149532000</v>
      </c>
    </row>
    <row r="143" spans="1:6" x14ac:dyDescent="0.2">
      <c r="A143" s="1">
        <v>45839</v>
      </c>
      <c r="B143" t="s">
        <v>9</v>
      </c>
      <c r="C143" s="17" t="s">
        <v>59</v>
      </c>
      <c r="D143" s="31">
        <v>299876</v>
      </c>
      <c r="E143" s="14">
        <f t="shared" si="10"/>
        <v>299876000</v>
      </c>
      <c r="F143" s="31">
        <f t="shared" si="11"/>
        <v>299876000</v>
      </c>
    </row>
    <row r="144" spans="1:6" x14ac:dyDescent="0.2">
      <c r="A144" s="1">
        <v>45870</v>
      </c>
      <c r="B144" t="s">
        <v>9</v>
      </c>
      <c r="C144" s="17" t="s">
        <v>59</v>
      </c>
      <c r="D144" s="31">
        <v>415709</v>
      </c>
      <c r="E144" s="14">
        <f t="shared" si="10"/>
        <v>415709000</v>
      </c>
      <c r="F144" s="31">
        <f t="shared" si="11"/>
        <v>415709000</v>
      </c>
    </row>
    <row r="145" spans="1:6" x14ac:dyDescent="0.2">
      <c r="A145" s="1">
        <v>45901</v>
      </c>
      <c r="B145" t="s">
        <v>9</v>
      </c>
      <c r="C145" s="17" t="s">
        <v>59</v>
      </c>
      <c r="D145" s="31">
        <v>386658</v>
      </c>
      <c r="E145" s="14">
        <f t="shared" si="10"/>
        <v>386658000</v>
      </c>
      <c r="F145" s="31">
        <f t="shared" si="11"/>
        <v>386658000</v>
      </c>
    </row>
    <row r="146" spans="1:6" x14ac:dyDescent="0.2">
      <c r="A146" s="1">
        <v>45931</v>
      </c>
      <c r="B146" t="s">
        <v>9</v>
      </c>
      <c r="C146" s="17" t="s">
        <v>59</v>
      </c>
      <c r="D146" s="31">
        <v>311479</v>
      </c>
      <c r="E146" s="14">
        <f t="shared" si="10"/>
        <v>311479000</v>
      </c>
      <c r="F146" s="31">
        <f t="shared" si="11"/>
        <v>311479000</v>
      </c>
    </row>
    <row r="147" spans="1:6" x14ac:dyDescent="0.2">
      <c r="A147" s="1">
        <v>45962</v>
      </c>
      <c r="B147" t="s">
        <v>9</v>
      </c>
      <c r="C147" s="17" t="s">
        <v>59</v>
      </c>
      <c r="D147" s="31">
        <v>396404</v>
      </c>
      <c r="E147" s="14">
        <f t="shared" si="10"/>
        <v>396404000</v>
      </c>
      <c r="F147" s="31">
        <f t="shared" si="11"/>
        <v>396404000</v>
      </c>
    </row>
    <row r="148" spans="1:6" x14ac:dyDescent="0.2">
      <c r="A148" s="1">
        <v>45992</v>
      </c>
      <c r="B148" t="s">
        <v>9</v>
      </c>
      <c r="C148" s="17" t="s">
        <v>59</v>
      </c>
      <c r="D148" s="31">
        <v>301835</v>
      </c>
      <c r="E148" s="14">
        <f t="shared" si="10"/>
        <v>301835000</v>
      </c>
      <c r="F148" s="31">
        <f t="shared" si="11"/>
        <v>301835000</v>
      </c>
    </row>
    <row r="149" spans="1:6" x14ac:dyDescent="0.2">
      <c r="A149" s="1">
        <v>46023</v>
      </c>
      <c r="B149" t="s">
        <v>9</v>
      </c>
      <c r="C149" s="17" t="s">
        <v>59</v>
      </c>
      <c r="D149" s="31">
        <v>297275</v>
      </c>
      <c r="E149" s="14">
        <f t="shared" si="10"/>
        <v>297275000</v>
      </c>
      <c r="F149" s="31">
        <f t="shared" si="11"/>
        <v>297275000</v>
      </c>
    </row>
    <row r="150" spans="1:6" x14ac:dyDescent="0.2">
      <c r="A150" s="1">
        <v>46054</v>
      </c>
      <c r="B150" t="s">
        <v>9</v>
      </c>
      <c r="C150" s="17" t="s">
        <v>59</v>
      </c>
      <c r="D150" s="31">
        <v>327003</v>
      </c>
      <c r="E150" s="14">
        <f t="shared" si="10"/>
        <v>327003000</v>
      </c>
      <c r="F150" s="31">
        <f t="shared" si="11"/>
        <v>327003000</v>
      </c>
    </row>
    <row r="151" spans="1:6" x14ac:dyDescent="0.2">
      <c r="A151" s="1">
        <v>46082</v>
      </c>
      <c r="B151" t="s">
        <v>9</v>
      </c>
      <c r="C151" s="17" t="s">
        <v>59</v>
      </c>
      <c r="D151" s="31">
        <v>423240</v>
      </c>
      <c r="E151" s="14">
        <f t="shared" si="10"/>
        <v>423240000</v>
      </c>
      <c r="F151" s="31">
        <f t="shared" si="11"/>
        <v>423240000</v>
      </c>
    </row>
    <row r="152" spans="1:6" x14ac:dyDescent="0.2">
      <c r="A152" s="1">
        <v>46113</v>
      </c>
      <c r="B152" t="s">
        <v>9</v>
      </c>
      <c r="C152" s="17" t="s">
        <v>59</v>
      </c>
      <c r="D152" s="31">
        <v>500694</v>
      </c>
      <c r="E152" s="14">
        <f t="shared" si="10"/>
        <v>500694000</v>
      </c>
      <c r="F152" s="31">
        <f t="shared" si="11"/>
        <v>500694000</v>
      </c>
    </row>
    <row r="153" spans="1:6" x14ac:dyDescent="0.2">
      <c r="A153" s="1">
        <v>46143</v>
      </c>
      <c r="B153" t="s">
        <v>9</v>
      </c>
      <c r="C153" s="17" t="s">
        <v>59</v>
      </c>
      <c r="D153" s="31">
        <v>581983</v>
      </c>
      <c r="E153" s="14">
        <f t="shared" si="10"/>
        <v>581983000</v>
      </c>
      <c r="F153" s="31">
        <f t="shared" si="11"/>
        <v>581983000</v>
      </c>
    </row>
    <row r="154" spans="1:6" x14ac:dyDescent="0.2">
      <c r="A154" s="1">
        <v>46174</v>
      </c>
      <c r="B154" t="s">
        <v>9</v>
      </c>
      <c r="C154" s="17" t="s">
        <v>59</v>
      </c>
      <c r="D154" s="31">
        <v>792843</v>
      </c>
      <c r="E154" s="14">
        <f t="shared" si="10"/>
        <v>792843000</v>
      </c>
      <c r="F154" s="31">
        <f t="shared" si="11"/>
        <v>792843000</v>
      </c>
    </row>
    <row r="155" spans="1:6" x14ac:dyDescent="0.2">
      <c r="A155" s="1">
        <v>46204</v>
      </c>
      <c r="B155" t="s">
        <v>9</v>
      </c>
      <c r="C155" s="17" t="s">
        <v>59</v>
      </c>
      <c r="D155" s="31">
        <v>1089553</v>
      </c>
      <c r="E155" s="14">
        <f t="shared" si="10"/>
        <v>1089553000</v>
      </c>
      <c r="F155" s="31">
        <f t="shared" si="11"/>
        <v>1089553000</v>
      </c>
    </row>
    <row r="156" spans="1:6" x14ac:dyDescent="0.2">
      <c r="A156" s="1">
        <v>46235</v>
      </c>
      <c r="B156" t="s">
        <v>9</v>
      </c>
      <c r="C156" s="17" t="s">
        <v>59</v>
      </c>
      <c r="D156" s="31">
        <v>1182200</v>
      </c>
      <c r="E156" s="14">
        <f t="shared" si="10"/>
        <v>1182200000</v>
      </c>
      <c r="F156" s="31">
        <f t="shared" si="11"/>
        <v>1182200000</v>
      </c>
    </row>
    <row r="157" spans="1:6" x14ac:dyDescent="0.2">
      <c r="A157" s="1">
        <v>46266</v>
      </c>
      <c r="B157" t="s">
        <v>9</v>
      </c>
      <c r="C157" s="17" t="s">
        <v>59</v>
      </c>
      <c r="D157" s="31">
        <v>1297683</v>
      </c>
      <c r="E157" s="14">
        <f t="shared" si="10"/>
        <v>1297683000</v>
      </c>
      <c r="F157" s="31">
        <f t="shared" si="11"/>
        <v>1297683000</v>
      </c>
    </row>
    <row r="158" spans="1:6" x14ac:dyDescent="0.2">
      <c r="A158" s="1">
        <v>46296</v>
      </c>
      <c r="B158" t="s">
        <v>9</v>
      </c>
      <c r="C158" s="17" t="s">
        <v>59</v>
      </c>
      <c r="D158" s="31">
        <v>1245175</v>
      </c>
      <c r="E158" s="14">
        <f t="shared" si="10"/>
        <v>1245175000</v>
      </c>
      <c r="F158" s="31">
        <f t="shared" si="11"/>
        <v>1245175000</v>
      </c>
    </row>
    <row r="159" spans="1:6" x14ac:dyDescent="0.2">
      <c r="A159" s="1">
        <v>46327</v>
      </c>
      <c r="B159" t="s">
        <v>9</v>
      </c>
      <c r="C159" s="17" t="s">
        <v>59</v>
      </c>
      <c r="D159" s="31">
        <v>1181178</v>
      </c>
      <c r="E159" s="14">
        <f t="shared" si="10"/>
        <v>1181178000</v>
      </c>
      <c r="F159" s="31">
        <f t="shared" si="11"/>
        <v>1181178000</v>
      </c>
    </row>
    <row r="160" spans="1:6" x14ac:dyDescent="0.2">
      <c r="A160" s="1">
        <v>46357</v>
      </c>
      <c r="B160" t="s">
        <v>9</v>
      </c>
      <c r="C160" s="17" t="s">
        <v>59</v>
      </c>
      <c r="D160" s="31">
        <v>1250305</v>
      </c>
      <c r="E160" s="14">
        <f t="shared" si="10"/>
        <v>1250305000</v>
      </c>
      <c r="F160" s="31">
        <f t="shared" si="11"/>
        <v>1250305000</v>
      </c>
    </row>
    <row r="161" spans="1:6" x14ac:dyDescent="0.2">
      <c r="A161" s="1">
        <v>46113</v>
      </c>
      <c r="B161" t="s">
        <v>10</v>
      </c>
      <c r="C161" s="17" t="s">
        <v>10</v>
      </c>
      <c r="D161" s="32">
        <v>50000</v>
      </c>
      <c r="E161" s="14">
        <f t="shared" si="10"/>
        <v>50000000</v>
      </c>
      <c r="F161" s="31">
        <f t="shared" si="11"/>
        <v>50000000</v>
      </c>
    </row>
    <row r="162" spans="1:6" x14ac:dyDescent="0.2">
      <c r="A162" s="1">
        <v>46143</v>
      </c>
      <c r="B162" t="s">
        <v>10</v>
      </c>
      <c r="C162" s="17" t="s">
        <v>10</v>
      </c>
      <c r="D162" s="32">
        <v>91000</v>
      </c>
      <c r="E162" s="14">
        <f t="shared" si="10"/>
        <v>91000000</v>
      </c>
      <c r="F162" s="31">
        <f t="shared" si="11"/>
        <v>91000000</v>
      </c>
    </row>
    <row r="163" spans="1:6" x14ac:dyDescent="0.2">
      <c r="A163" s="1">
        <v>46174</v>
      </c>
      <c r="B163" t="s">
        <v>10</v>
      </c>
      <c r="C163" s="17" t="s">
        <v>10</v>
      </c>
      <c r="D163" s="32">
        <v>165620</v>
      </c>
      <c r="E163" s="14">
        <f t="shared" si="10"/>
        <v>165620000</v>
      </c>
      <c r="F163" s="31">
        <f t="shared" si="11"/>
        <v>165620000</v>
      </c>
    </row>
    <row r="164" spans="1:6" x14ac:dyDescent="0.2">
      <c r="A164" s="1">
        <v>46204</v>
      </c>
      <c r="B164" t="s">
        <v>10</v>
      </c>
      <c r="C164" s="17" t="s">
        <v>10</v>
      </c>
      <c r="D164" s="32">
        <v>185494</v>
      </c>
      <c r="E164" s="14">
        <f t="shared" si="10"/>
        <v>185494000</v>
      </c>
      <c r="F164" s="31">
        <f t="shared" si="11"/>
        <v>185494000</v>
      </c>
    </row>
    <row r="165" spans="1:6" x14ac:dyDescent="0.2">
      <c r="A165" s="1">
        <v>46235</v>
      </c>
      <c r="B165" t="s">
        <v>10</v>
      </c>
      <c r="C165" s="17" t="s">
        <v>10</v>
      </c>
      <c r="D165" s="32">
        <v>185494</v>
      </c>
      <c r="E165" s="14">
        <f t="shared" si="10"/>
        <v>185494000</v>
      </c>
      <c r="F165" s="31">
        <f t="shared" si="11"/>
        <v>185494000</v>
      </c>
    </row>
    <row r="166" spans="1:6" x14ac:dyDescent="0.2">
      <c r="A166" s="1">
        <v>46266</v>
      </c>
      <c r="B166" t="s">
        <v>10</v>
      </c>
      <c r="C166" s="17" t="s">
        <v>10</v>
      </c>
      <c r="D166" s="32">
        <v>204044</v>
      </c>
      <c r="E166" s="14">
        <f t="shared" si="10"/>
        <v>204044000</v>
      </c>
      <c r="F166" s="31">
        <f t="shared" si="11"/>
        <v>204044000</v>
      </c>
    </row>
    <row r="167" spans="1:6" x14ac:dyDescent="0.2">
      <c r="A167" s="1">
        <v>46296</v>
      </c>
      <c r="B167" t="s">
        <v>10</v>
      </c>
      <c r="C167" s="17" t="s">
        <v>10</v>
      </c>
      <c r="D167" s="32">
        <v>251411</v>
      </c>
      <c r="E167" s="14">
        <f t="shared" si="10"/>
        <v>251411000</v>
      </c>
      <c r="F167" s="31">
        <f t="shared" si="11"/>
        <v>251411000</v>
      </c>
    </row>
    <row r="168" spans="1:6" x14ac:dyDescent="0.2">
      <c r="A168" s="1">
        <v>46327</v>
      </c>
      <c r="B168" t="s">
        <v>10</v>
      </c>
      <c r="C168" s="17" t="s">
        <v>10</v>
      </c>
      <c r="D168" s="32">
        <v>377117</v>
      </c>
      <c r="E168" s="14">
        <f t="shared" si="10"/>
        <v>377117000</v>
      </c>
      <c r="F168" s="31">
        <f t="shared" si="11"/>
        <v>377117000</v>
      </c>
    </row>
    <row r="169" spans="1:6" x14ac:dyDescent="0.2">
      <c r="A169" s="1">
        <v>46357</v>
      </c>
      <c r="B169" t="s">
        <v>10</v>
      </c>
      <c r="C169" s="17" t="s">
        <v>10</v>
      </c>
      <c r="D169" s="32">
        <v>565675</v>
      </c>
      <c r="E169" s="14">
        <f t="shared" si="10"/>
        <v>565675000</v>
      </c>
      <c r="F169" s="31">
        <f t="shared" si="11"/>
        <v>565675000</v>
      </c>
    </row>
    <row r="170" spans="1:6" x14ac:dyDescent="0.2">
      <c r="A170" s="1"/>
      <c r="C170" s="17"/>
      <c r="D170" s="31">
        <v>476342567</v>
      </c>
      <c r="E170" s="14">
        <f>SUM(E2:E169)</f>
        <v>476342557000</v>
      </c>
      <c r="F170" s="31">
        <f t="shared" si="11"/>
        <v>476342557000</v>
      </c>
    </row>
    <row r="171" spans="1:6" x14ac:dyDescent="0.2">
      <c r="A171" s="1"/>
      <c r="C171" s="17"/>
    </row>
    <row r="172" spans="1:6" x14ac:dyDescent="0.2">
      <c r="A172" s="1"/>
      <c r="C172" s="17"/>
    </row>
    <row r="173" spans="1:6" x14ac:dyDescent="0.2">
      <c r="A173" s="1"/>
      <c r="C173" s="17"/>
    </row>
    <row r="174" spans="1:6" x14ac:dyDescent="0.2">
      <c r="A174" s="1"/>
      <c r="C174" s="17"/>
    </row>
    <row r="175" spans="1:6" x14ac:dyDescent="0.2">
      <c r="A175" s="1"/>
      <c r="C175" s="17"/>
    </row>
    <row r="176" spans="1:6" x14ac:dyDescent="0.2">
      <c r="A176" s="1"/>
      <c r="C176" s="17"/>
    </row>
    <row r="177" spans="1:3" x14ac:dyDescent="0.2">
      <c r="A177" s="1"/>
      <c r="C177" s="17"/>
    </row>
    <row r="178" spans="1:3" x14ac:dyDescent="0.2">
      <c r="A178" s="1"/>
      <c r="C178" s="17"/>
    </row>
    <row r="179" spans="1:3" x14ac:dyDescent="0.2">
      <c r="A179" s="1"/>
      <c r="C179" s="17"/>
    </row>
    <row r="180" spans="1:3" x14ac:dyDescent="0.2">
      <c r="A180" s="1"/>
      <c r="C180" s="17"/>
    </row>
    <row r="181" spans="1:3" x14ac:dyDescent="0.2">
      <c r="A181" s="1"/>
      <c r="C181" s="17"/>
    </row>
    <row r="182" spans="1:3" x14ac:dyDescent="0.2">
      <c r="A182" s="1"/>
      <c r="C182" s="17"/>
    </row>
    <row r="183" spans="1:3" x14ac:dyDescent="0.2">
      <c r="A183" s="1"/>
      <c r="C183" s="17"/>
    </row>
    <row r="184" spans="1:3" x14ac:dyDescent="0.2">
      <c r="A184" s="1"/>
      <c r="C184" s="17"/>
    </row>
    <row r="185" spans="1:3" x14ac:dyDescent="0.2">
      <c r="A185" s="1"/>
      <c r="C185" s="17"/>
    </row>
    <row r="186" spans="1:3" x14ac:dyDescent="0.2">
      <c r="A186" s="1"/>
      <c r="C186" s="17"/>
    </row>
    <row r="187" spans="1:3" x14ac:dyDescent="0.2">
      <c r="A187" s="1"/>
      <c r="C187" s="17"/>
    </row>
    <row r="188" spans="1:3" x14ac:dyDescent="0.2">
      <c r="A188" s="1"/>
      <c r="C188" s="17"/>
    </row>
    <row r="189" spans="1:3" x14ac:dyDescent="0.2">
      <c r="A189" s="1"/>
      <c r="C189" s="17"/>
    </row>
    <row r="190" spans="1:3" x14ac:dyDescent="0.2">
      <c r="A190" s="1"/>
      <c r="C190" s="17"/>
    </row>
    <row r="191" spans="1:3" x14ac:dyDescent="0.2">
      <c r="A191" s="1"/>
      <c r="C191" s="17"/>
    </row>
    <row r="192" spans="1:3" x14ac:dyDescent="0.2">
      <c r="A192" s="1"/>
      <c r="C192" s="17"/>
    </row>
    <row r="193" spans="1:3" x14ac:dyDescent="0.2">
      <c r="A193" s="1"/>
      <c r="C193" s="17"/>
    </row>
    <row r="194" spans="1:3" x14ac:dyDescent="0.2">
      <c r="A194" s="1"/>
      <c r="C194" s="17"/>
    </row>
    <row r="195" spans="1:3" x14ac:dyDescent="0.2">
      <c r="A195" s="1"/>
      <c r="C195" s="17"/>
    </row>
    <row r="196" spans="1:3" x14ac:dyDescent="0.2">
      <c r="A196" s="1"/>
      <c r="C196" s="17"/>
    </row>
    <row r="197" spans="1:3" x14ac:dyDescent="0.2">
      <c r="A197" s="1"/>
      <c r="C197" s="17"/>
    </row>
    <row r="198" spans="1:3" x14ac:dyDescent="0.2">
      <c r="A198" s="1"/>
      <c r="C198" s="17"/>
    </row>
    <row r="199" spans="1:3" x14ac:dyDescent="0.2">
      <c r="A199" s="1"/>
      <c r="C199" s="17"/>
    </row>
    <row r="203" spans="1:3" x14ac:dyDescent="0.2">
      <c r="B203" t="e" cm="1">
        <f t="array" ref="B203">VLOOKUP(info!#REF!,anaf,2,FALSE)</f>
        <v>#REF!</v>
      </c>
    </row>
    <row r="210" spans="1:1" x14ac:dyDescent="0.2">
      <c r="A210">
        <v>402</v>
      </c>
    </row>
  </sheetData>
  <autoFilter ref="A1:D199" xr:uid="{0B467255-C72A-468C-AE3D-DA98F9EDB4C9}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EDA7-D0B4-4CC1-992A-8C5113676BC4}">
  <sheetPr filterMode="1"/>
  <dimension ref="A1:BT176"/>
  <sheetViews>
    <sheetView rightToLeft="1" zoomScale="159" workbookViewId="0">
      <pane ySplit="4" topLeftCell="A5" activePane="bottomLeft" state="frozen"/>
      <selection pane="bottomLeft" activeCell="H5" sqref="H5"/>
    </sheetView>
  </sheetViews>
  <sheetFormatPr defaultRowHeight="12.95" customHeight="1" outlineLevelCol="2" x14ac:dyDescent="0.2"/>
  <cols>
    <col min="1" max="1" width="6" customWidth="1"/>
    <col min="2" max="2" width="4.875" customWidth="1"/>
    <col min="3" max="3" width="6.875" customWidth="1"/>
    <col min="4" max="5" width="11" customWidth="1"/>
    <col min="6" max="6" width="12.5" customWidth="1"/>
    <col min="7" max="7" width="11.125" customWidth="1"/>
    <col min="8" max="8" width="10.875" customWidth="1"/>
    <col min="9" max="9" width="13.25" customWidth="1" outlineLevel="1"/>
    <col min="10" max="10" width="9.875" customWidth="1" outlineLevel="1"/>
    <col min="11" max="11" width="9.125" customWidth="1" outlineLevel="1"/>
    <col min="12" max="12" width="9.875" customWidth="1" outlineLevel="1"/>
    <col min="13" max="13" width="11.75" customWidth="1"/>
    <col min="14" max="14" width="10.875" customWidth="1" outlineLevel="2"/>
    <col min="15" max="16" width="9.875" customWidth="1" outlineLevel="2"/>
    <col min="17" max="18" width="10.875" customWidth="1" outlineLevel="2"/>
    <col min="19" max="19" width="10.875" customWidth="1"/>
    <col min="20" max="20" width="10.375" customWidth="1"/>
    <col min="21" max="26" width="10.875" customWidth="1"/>
    <col min="27" max="28" width="10.875" hidden="1" customWidth="1"/>
    <col min="29" max="72" width="9.875" hidden="1" customWidth="1"/>
  </cols>
  <sheetData>
    <row r="1" spans="1:72" ht="12.95" customHeight="1" x14ac:dyDescent="0.2">
      <c r="A1" t="s">
        <v>78</v>
      </c>
      <c r="I1" t="s">
        <v>79</v>
      </c>
      <c r="M1" t="s">
        <v>80</v>
      </c>
      <c r="O1" s="14"/>
      <c r="S1" t="s">
        <v>82</v>
      </c>
      <c r="U1" s="11"/>
      <c r="AC1" t="s">
        <v>81</v>
      </c>
    </row>
    <row r="2" spans="1:72" ht="12.95" customHeight="1" x14ac:dyDescent="0.2">
      <c r="M2" s="14">
        <f>SUM(M5:M100)</f>
        <v>380258805.14999992</v>
      </c>
      <c r="O2" s="14"/>
    </row>
    <row r="3" spans="1:72" ht="12.95" customHeight="1" x14ac:dyDescent="0.2">
      <c r="H3" t="s">
        <v>83</v>
      </c>
      <c r="M3" t="s">
        <v>84</v>
      </c>
    </row>
    <row r="4" spans="1:72" ht="12.95" customHeight="1" x14ac:dyDescent="0.2">
      <c r="A4" t="s">
        <v>62</v>
      </c>
      <c r="B4" t="s">
        <v>39</v>
      </c>
      <c r="C4" t="s">
        <v>63</v>
      </c>
      <c r="D4" s="1" t="str">
        <f>prod!A1</f>
        <v>startDade</v>
      </c>
      <c r="E4" s="1" t="s">
        <v>76</v>
      </c>
      <c r="F4" s="1" t="str">
        <f>prod!B1</f>
        <v>מרכז</v>
      </c>
      <c r="G4" s="1" t="str">
        <f>prod!C1</f>
        <v>ענף</v>
      </c>
      <c r="H4" s="1" t="str">
        <f>prod!D1</f>
        <v>amount</v>
      </c>
      <c r="I4" t="s">
        <v>61</v>
      </c>
      <c r="J4" t="s">
        <v>69</v>
      </c>
      <c r="K4" t="s">
        <v>70</v>
      </c>
      <c r="L4" t="s">
        <v>14</v>
      </c>
      <c r="M4" t="s">
        <v>71</v>
      </c>
      <c r="N4" t="s">
        <v>72</v>
      </c>
      <c r="O4" t="s">
        <v>73</v>
      </c>
      <c r="P4" t="s">
        <v>70</v>
      </c>
      <c r="Q4" t="s">
        <v>74</v>
      </c>
      <c r="R4" t="s">
        <v>75</v>
      </c>
      <c r="S4" s="7">
        <v>45747</v>
      </c>
      <c r="T4" s="7">
        <v>45838</v>
      </c>
      <c r="U4" s="7">
        <v>45930</v>
      </c>
      <c r="V4" s="7">
        <v>46022</v>
      </c>
      <c r="W4" s="7">
        <v>46112</v>
      </c>
      <c r="X4" s="7">
        <v>46203</v>
      </c>
      <c r="Y4" s="7">
        <v>46295</v>
      </c>
      <c r="Z4" s="7">
        <v>46387</v>
      </c>
      <c r="AA4" s="7"/>
      <c r="AC4" s="7">
        <v>45747</v>
      </c>
      <c r="AD4" s="7">
        <v>45777</v>
      </c>
      <c r="AE4" s="7">
        <v>45808</v>
      </c>
      <c r="AF4" s="7">
        <v>45838</v>
      </c>
      <c r="AG4" s="7">
        <v>45869</v>
      </c>
      <c r="AH4" s="7">
        <v>45900</v>
      </c>
      <c r="AI4" s="7">
        <v>45930</v>
      </c>
      <c r="AJ4" s="7">
        <v>45961</v>
      </c>
      <c r="AK4" s="7">
        <v>45991</v>
      </c>
      <c r="AL4" s="7">
        <v>46022</v>
      </c>
      <c r="AM4" s="7">
        <v>46053</v>
      </c>
      <c r="AN4" s="7">
        <v>46081</v>
      </c>
      <c r="AO4" s="7">
        <v>46112</v>
      </c>
      <c r="AP4" s="7">
        <v>46142</v>
      </c>
      <c r="AQ4" s="7">
        <v>46173</v>
      </c>
      <c r="AR4" s="7">
        <v>46203</v>
      </c>
      <c r="AS4" s="7">
        <v>46234</v>
      </c>
      <c r="AT4" s="7">
        <v>46265</v>
      </c>
      <c r="AU4" s="7">
        <v>46295</v>
      </c>
      <c r="AV4" s="7">
        <v>46326</v>
      </c>
      <c r="AW4" s="7">
        <v>46356</v>
      </c>
      <c r="AX4" s="7">
        <v>46387</v>
      </c>
      <c r="AY4" s="7">
        <v>45747</v>
      </c>
      <c r="AZ4" s="7">
        <v>45777</v>
      </c>
      <c r="BA4" s="7">
        <v>45808</v>
      </c>
      <c r="BB4" s="7">
        <v>45838</v>
      </c>
      <c r="BC4" s="7">
        <v>45869</v>
      </c>
      <c r="BD4" s="7">
        <v>45900</v>
      </c>
      <c r="BE4" s="7">
        <v>45930</v>
      </c>
      <c r="BF4" s="7">
        <v>45961</v>
      </c>
      <c r="BG4" s="7">
        <v>45992</v>
      </c>
      <c r="BH4" s="7">
        <v>46022</v>
      </c>
      <c r="BI4" s="7">
        <v>46053</v>
      </c>
      <c r="BJ4" s="7">
        <v>46081</v>
      </c>
      <c r="BK4" s="7">
        <v>46112</v>
      </c>
      <c r="BL4" s="7">
        <v>46142</v>
      </c>
      <c r="BM4" s="7">
        <v>46173</v>
      </c>
      <c r="BN4" s="7">
        <v>46203</v>
      </c>
      <c r="BO4" s="7">
        <v>46234</v>
      </c>
      <c r="BP4" s="7">
        <v>46265</v>
      </c>
      <c r="BQ4" s="7">
        <v>46295</v>
      </c>
      <c r="BR4" s="7">
        <v>46326</v>
      </c>
      <c r="BS4" s="7">
        <v>46356</v>
      </c>
      <c r="BT4" s="7">
        <v>46387</v>
      </c>
    </row>
    <row r="5" spans="1:72" ht="12.95" customHeight="1" x14ac:dyDescent="0.2">
      <c r="A5">
        <f>YEAR(D5)</f>
        <v>2025</v>
      </c>
      <c r="B5">
        <f>MONTH(D5)</f>
        <v>3</v>
      </c>
      <c r="C5">
        <f>IF(MONTH(D5)&lt;=3,1,IF(MONTH(D5)&lt;=6,2,IF(MONTH(D5)&lt;=9,3,4)))</f>
        <v>1</v>
      </c>
      <c r="D5" s="11">
        <f>prod!A2</f>
        <v>45717</v>
      </c>
      <c r="E5" s="11">
        <f>EDATE(D5,12)-1</f>
        <v>46081</v>
      </c>
      <c r="F5" s="10" t="str">
        <f>prod!B2</f>
        <v>רכב חובה</v>
      </c>
      <c r="G5" s="10" t="str">
        <f>prod!C2</f>
        <v xml:space="preserve">חובה </v>
      </c>
      <c r="H5" s="10">
        <f>prod!D2</f>
        <v>46319</v>
      </c>
      <c r="I5" s="10">
        <f>SUMIFS(info!C:C,info!$A:$A,data!$A5,info!$B:$B,data!$G5)</f>
        <v>0.05</v>
      </c>
      <c r="J5" s="10">
        <f>SUMIFS(info!D:D,info!$A:$A,data!$A5,info!$B:$B,data!$G5)</f>
        <v>0.13500000000000001</v>
      </c>
      <c r="K5" s="10">
        <f>SUMIFS(info!E:E,info!$A:$A,data!$A5,info!$B:$B,data!$G5)</f>
        <v>0.17219999999999999</v>
      </c>
      <c r="L5" s="10">
        <f>SUMIFS(info!F:F,info!$A:$A,data!$A5,info!$B:$B,data!$G5)</f>
        <v>0.9</v>
      </c>
      <c r="M5" s="10">
        <f>IF(SUMIFS(info!$C$25:$C$27,info!$A$25:$A$27,data!A5,info!$B$25:$B$27,data!F5)&lt;=0,1,SUMIFS(info!$C$25:$C$27,info!$A$25:$A$27,data!A5,info!$B$25:$B$27,data!F5))*H5</f>
        <v>36777.286</v>
      </c>
      <c r="N5" s="10">
        <f>H5*J5</f>
        <v>6253.0650000000005</v>
      </c>
      <c r="O5" s="10">
        <f>H5*I5</f>
        <v>2315.9500000000003</v>
      </c>
      <c r="P5" s="10">
        <f>N5*K5</f>
        <v>1076.777793</v>
      </c>
      <c r="Q5" s="10">
        <f>H5*L5</f>
        <v>41687.1</v>
      </c>
      <c r="R5" s="10">
        <f>Q5*J5</f>
        <v>5627.7584999999999</v>
      </c>
      <c r="S5" s="10">
        <f>IF($D5&gt;S$4,0,$M5*MAX(0,$E5-S$4)/($E5-$D5+1))</f>
        <v>33653.735682191778</v>
      </c>
      <c r="T5" s="10">
        <f t="shared" ref="T5:Z5" si="0">IF($D5&gt;T$4,0,$M5*MAX(0,$E5-T$4)/($E5-$D5+1))</f>
        <v>24484.604104109589</v>
      </c>
      <c r="U5" s="10">
        <f t="shared" si="0"/>
        <v>15214.712838356163</v>
      </c>
      <c r="V5" s="10">
        <f t="shared" si="0"/>
        <v>5944.8215726027393</v>
      </c>
      <c r="W5" s="10">
        <f t="shared" si="0"/>
        <v>0</v>
      </c>
      <c r="X5" s="10">
        <f t="shared" si="0"/>
        <v>0</v>
      </c>
      <c r="Y5" s="10">
        <f t="shared" si="0"/>
        <v>0</v>
      </c>
      <c r="Z5" s="10">
        <f t="shared" si="0"/>
        <v>0</v>
      </c>
      <c r="AA5" s="10"/>
      <c r="AB5" s="10"/>
      <c r="AC5">
        <f>IF(($E5-AC$4)&gt;365,0,($E5-AC$4))</f>
        <v>334</v>
      </c>
      <c r="AD5">
        <f t="shared" ref="AD5:AS20" si="1">IF(($E5-AD$4)&gt;365,0,($E5-AD$4))</f>
        <v>304</v>
      </c>
      <c r="AE5">
        <f t="shared" si="1"/>
        <v>273</v>
      </c>
      <c r="AF5">
        <f t="shared" si="1"/>
        <v>243</v>
      </c>
      <c r="AG5">
        <f t="shared" si="1"/>
        <v>212</v>
      </c>
      <c r="AH5">
        <f t="shared" si="1"/>
        <v>181</v>
      </c>
      <c r="AI5">
        <f t="shared" si="1"/>
        <v>151</v>
      </c>
      <c r="AJ5">
        <f t="shared" si="1"/>
        <v>120</v>
      </c>
      <c r="AK5">
        <f t="shared" si="1"/>
        <v>90</v>
      </c>
      <c r="AL5">
        <f t="shared" si="1"/>
        <v>59</v>
      </c>
      <c r="AM5">
        <f t="shared" si="1"/>
        <v>28</v>
      </c>
      <c r="AN5">
        <f t="shared" si="1"/>
        <v>0</v>
      </c>
      <c r="AO5">
        <f t="shared" si="1"/>
        <v>-31</v>
      </c>
      <c r="AP5">
        <f t="shared" si="1"/>
        <v>-61</v>
      </c>
      <c r="AQ5">
        <f t="shared" si="1"/>
        <v>-92</v>
      </c>
      <c r="AR5">
        <f t="shared" si="1"/>
        <v>-122</v>
      </c>
      <c r="AS5">
        <f t="shared" si="1"/>
        <v>-153</v>
      </c>
      <c r="AT5">
        <f t="shared" ref="AT5:AX20" si="2">IF(($E5-AT$4)&gt;365,0,($E5-AT$4))</f>
        <v>-184</v>
      </c>
      <c r="AU5">
        <f t="shared" si="2"/>
        <v>-214</v>
      </c>
      <c r="AV5">
        <f t="shared" si="2"/>
        <v>-245</v>
      </c>
      <c r="AW5">
        <f t="shared" si="2"/>
        <v>-275</v>
      </c>
      <c r="AX5">
        <f t="shared" si="2"/>
        <v>-306</v>
      </c>
      <c r="AY5">
        <f t="shared" ref="AY5:AY36" si="3">IF(AC5&lt;0,0,AC5)</f>
        <v>334</v>
      </c>
      <c r="AZ5">
        <f t="shared" ref="AZ5:AZ36" si="4">IF(AD5&lt;0,0,AD5)</f>
        <v>304</v>
      </c>
      <c r="BA5">
        <f t="shared" ref="BA5:BA36" si="5">IF(AE5&lt;0,0,AE5)</f>
        <v>273</v>
      </c>
      <c r="BB5">
        <f t="shared" ref="BB5:BB36" si="6">IF(AF5&lt;0,0,AF5)</f>
        <v>243</v>
      </c>
      <c r="BC5">
        <f t="shared" ref="BC5:BC36" si="7">IF(AG5&lt;0,0,AG5)</f>
        <v>212</v>
      </c>
      <c r="BD5">
        <f t="shared" ref="BD5:BD36" si="8">IF(AH5&lt;0,0,AH5)</f>
        <v>181</v>
      </c>
      <c r="BE5">
        <f t="shared" ref="BE5:BE36" si="9">IF(AI5&lt;0,0,AI5)</f>
        <v>151</v>
      </c>
      <c r="BF5">
        <f t="shared" ref="BF5:BF36" si="10">IF(AJ5&lt;0,0,AJ5)</f>
        <v>120</v>
      </c>
      <c r="BG5">
        <f t="shared" ref="BG5:BT16" si="11">IF(AK5&lt;0,0,AK5)</f>
        <v>90</v>
      </c>
      <c r="BH5">
        <f t="shared" si="11"/>
        <v>59</v>
      </c>
      <c r="BI5">
        <f t="shared" si="11"/>
        <v>28</v>
      </c>
      <c r="BJ5">
        <f t="shared" si="11"/>
        <v>0</v>
      </c>
      <c r="BK5">
        <f t="shared" si="11"/>
        <v>0</v>
      </c>
      <c r="BL5">
        <f t="shared" si="11"/>
        <v>0</v>
      </c>
      <c r="BM5">
        <f t="shared" si="11"/>
        <v>0</v>
      </c>
      <c r="BN5">
        <f t="shared" si="11"/>
        <v>0</v>
      </c>
      <c r="BO5">
        <f t="shared" si="11"/>
        <v>0</v>
      </c>
      <c r="BP5">
        <f t="shared" si="11"/>
        <v>0</v>
      </c>
      <c r="BQ5">
        <f t="shared" si="11"/>
        <v>0</v>
      </c>
      <c r="BR5">
        <f t="shared" si="11"/>
        <v>0</v>
      </c>
      <c r="BS5">
        <f t="shared" si="11"/>
        <v>0</v>
      </c>
      <c r="BT5">
        <f t="shared" si="11"/>
        <v>0</v>
      </c>
    </row>
    <row r="6" spans="1:72" ht="12.95" customHeight="1" x14ac:dyDescent="0.2">
      <c r="A6">
        <f t="shared" ref="A6:A35" si="12">YEAR(D6)</f>
        <v>2025</v>
      </c>
      <c r="B6">
        <f t="shared" ref="B6:B69" si="13">MONTH(D6)</f>
        <v>4</v>
      </c>
      <c r="C6">
        <f t="shared" ref="C6:C69" si="14">IF(MONTH(D6)&lt;=3,1,IF(MONTH(D6)&lt;=6,2,IF(MONTH(D6)&lt;=9,3,4)))</f>
        <v>2</v>
      </c>
      <c r="D6" s="11">
        <f>prod!A3</f>
        <v>45748</v>
      </c>
      <c r="E6" s="11">
        <f t="shared" ref="E6:E69" si="15">EDATE(D6,12)-1</f>
        <v>46112</v>
      </c>
      <c r="F6" s="10" t="str">
        <f>prod!B3</f>
        <v>רכב חובה</v>
      </c>
      <c r="G6" s="10" t="str">
        <f>prod!C3</f>
        <v xml:space="preserve">חובה </v>
      </c>
      <c r="H6" s="10">
        <f>prod!D3</f>
        <v>448737</v>
      </c>
      <c r="I6" s="10">
        <f>SUMIFS(info!C:C,info!$A:$A,data!$A6,info!$B:$B,data!$G6)</f>
        <v>0.05</v>
      </c>
      <c r="J6" s="10">
        <f>SUMIFS(info!D:D,info!$A:$A,data!$A6,info!$B:$B,data!$G6)</f>
        <v>0.13500000000000001</v>
      </c>
      <c r="K6" s="10">
        <f>SUMIFS(info!E:E,info!$A:$A,data!$A6,info!$B:$B,data!$G6)</f>
        <v>0.17219999999999999</v>
      </c>
      <c r="L6" s="10">
        <f>SUMIFS(info!F:F,info!$A:$A,data!$A6,info!$B:$B,data!$G6)</f>
        <v>0.9</v>
      </c>
      <c r="M6" s="10">
        <f>IF(SUMIFS(info!$C$25:$C$27,info!$A$25:$A$27,data!A6,info!$B$25:$B$27,data!F6)&lt;=0,1,SUMIFS(info!$C$25:$C$27,info!$A$25:$A$27,data!A6,info!$B$25:$B$27,data!F6))*H6</f>
        <v>356297.17800000001</v>
      </c>
      <c r="N6" s="10">
        <f t="shared" ref="N6:N69" si="16">H6*J6</f>
        <v>60579.495000000003</v>
      </c>
      <c r="O6" s="10">
        <f t="shared" ref="O6:O69" si="17">H6*I6</f>
        <v>22436.850000000002</v>
      </c>
      <c r="P6" s="10">
        <f t="shared" ref="P6:P69" si="18">N6*K6</f>
        <v>10431.789038999999</v>
      </c>
      <c r="Q6" s="10">
        <f t="shared" ref="Q6:Q69" si="19">H6*L6</f>
        <v>403863.3</v>
      </c>
      <c r="R6" s="10">
        <f t="shared" ref="R6:R69" si="20">Q6*J6</f>
        <v>54521.5455</v>
      </c>
      <c r="S6" s="10">
        <f t="shared" ref="S6:Z69" si="21">IF($D6&gt;S$4,0,$M6*MAX(0,$E6-S$4)/($E6-$D6+1))</f>
        <v>0</v>
      </c>
      <c r="T6" s="10">
        <f t="shared" si="21"/>
        <v>267466.92266301368</v>
      </c>
      <c r="U6" s="10">
        <f t="shared" si="21"/>
        <v>177660.5106739726</v>
      </c>
      <c r="V6" s="10">
        <f t="shared" si="21"/>
        <v>87854.098684931509</v>
      </c>
      <c r="W6" s="10">
        <f t="shared" si="21"/>
        <v>0</v>
      </c>
      <c r="X6" s="10">
        <f t="shared" si="21"/>
        <v>0</v>
      </c>
      <c r="Y6" s="10">
        <f t="shared" si="21"/>
        <v>0</v>
      </c>
      <c r="Z6" s="10">
        <f t="shared" si="21"/>
        <v>0</v>
      </c>
      <c r="AA6" s="10"/>
      <c r="AB6" s="10"/>
      <c r="AC6">
        <f t="shared" ref="AC6:AR21" si="22">IF(($E6-AC$4)&gt;365,0,($E6-AC$4))</f>
        <v>365</v>
      </c>
      <c r="AD6">
        <f t="shared" si="1"/>
        <v>335</v>
      </c>
      <c r="AE6">
        <f t="shared" si="1"/>
        <v>304</v>
      </c>
      <c r="AF6">
        <f t="shared" si="1"/>
        <v>274</v>
      </c>
      <c r="AG6">
        <f t="shared" si="1"/>
        <v>243</v>
      </c>
      <c r="AH6">
        <f t="shared" si="1"/>
        <v>212</v>
      </c>
      <c r="AI6">
        <f t="shared" si="1"/>
        <v>182</v>
      </c>
      <c r="AJ6">
        <f t="shared" si="1"/>
        <v>151</v>
      </c>
      <c r="AK6">
        <f t="shared" si="1"/>
        <v>121</v>
      </c>
      <c r="AL6">
        <f t="shared" si="1"/>
        <v>90</v>
      </c>
      <c r="AM6">
        <f t="shared" si="1"/>
        <v>59</v>
      </c>
      <c r="AN6">
        <f t="shared" si="1"/>
        <v>31</v>
      </c>
      <c r="AO6">
        <f t="shared" si="1"/>
        <v>0</v>
      </c>
      <c r="AP6">
        <f t="shared" si="1"/>
        <v>-30</v>
      </c>
      <c r="AQ6">
        <f t="shared" si="1"/>
        <v>-61</v>
      </c>
      <c r="AR6">
        <f t="shared" si="1"/>
        <v>-91</v>
      </c>
      <c r="AS6">
        <f t="shared" si="1"/>
        <v>-122</v>
      </c>
      <c r="AT6">
        <f t="shared" si="2"/>
        <v>-153</v>
      </c>
      <c r="AU6">
        <f t="shared" si="2"/>
        <v>-183</v>
      </c>
      <c r="AV6">
        <f t="shared" si="2"/>
        <v>-214</v>
      </c>
      <c r="AW6">
        <f t="shared" si="2"/>
        <v>-244</v>
      </c>
      <c r="AX6">
        <f t="shared" si="2"/>
        <v>-275</v>
      </c>
      <c r="AY6">
        <f t="shared" si="3"/>
        <v>365</v>
      </c>
      <c r="AZ6">
        <f t="shared" si="4"/>
        <v>335</v>
      </c>
      <c r="BA6">
        <f t="shared" si="5"/>
        <v>304</v>
      </c>
      <c r="BB6">
        <f t="shared" si="6"/>
        <v>274</v>
      </c>
      <c r="BC6">
        <f t="shared" si="7"/>
        <v>243</v>
      </c>
      <c r="BD6">
        <f t="shared" si="8"/>
        <v>212</v>
      </c>
      <c r="BE6">
        <f t="shared" si="9"/>
        <v>182</v>
      </c>
      <c r="BF6">
        <f t="shared" si="10"/>
        <v>151</v>
      </c>
      <c r="BG6">
        <f t="shared" si="11"/>
        <v>121</v>
      </c>
      <c r="BH6">
        <f t="shared" si="11"/>
        <v>90</v>
      </c>
      <c r="BI6">
        <f t="shared" si="11"/>
        <v>59</v>
      </c>
      <c r="BJ6">
        <f t="shared" si="11"/>
        <v>31</v>
      </c>
      <c r="BK6">
        <f t="shared" si="11"/>
        <v>0</v>
      </c>
      <c r="BL6">
        <f t="shared" si="11"/>
        <v>0</v>
      </c>
      <c r="BM6">
        <f t="shared" si="11"/>
        <v>0</v>
      </c>
      <c r="BN6">
        <f t="shared" si="11"/>
        <v>0</v>
      </c>
      <c r="BO6">
        <f t="shared" si="11"/>
        <v>0</v>
      </c>
      <c r="BP6">
        <f t="shared" si="11"/>
        <v>0</v>
      </c>
      <c r="BQ6">
        <f t="shared" si="11"/>
        <v>0</v>
      </c>
      <c r="BR6">
        <f t="shared" si="11"/>
        <v>0</v>
      </c>
      <c r="BS6">
        <f t="shared" si="11"/>
        <v>0</v>
      </c>
      <c r="BT6">
        <f t="shared" si="11"/>
        <v>0</v>
      </c>
    </row>
    <row r="7" spans="1:72" ht="12.95" customHeight="1" x14ac:dyDescent="0.2">
      <c r="A7">
        <f t="shared" si="12"/>
        <v>2025</v>
      </c>
      <c r="B7">
        <f t="shared" si="13"/>
        <v>5</v>
      </c>
      <c r="C7">
        <f t="shared" si="14"/>
        <v>2</v>
      </c>
      <c r="D7" s="11">
        <f>prod!A4</f>
        <v>45778</v>
      </c>
      <c r="E7" s="11">
        <f t="shared" si="15"/>
        <v>46142</v>
      </c>
      <c r="F7" s="10" t="str">
        <f>prod!B4</f>
        <v>רכב חובה</v>
      </c>
      <c r="G7" s="10" t="str">
        <f>prod!C4</f>
        <v xml:space="preserve">חובה </v>
      </c>
      <c r="H7" s="10">
        <f>prod!D4</f>
        <v>565905</v>
      </c>
      <c r="I7" s="10">
        <f>SUMIFS(info!C:C,info!$A:$A,data!$A7,info!$B:$B,data!$G7)</f>
        <v>0.05</v>
      </c>
      <c r="J7" s="10">
        <f>SUMIFS(info!D:D,info!$A:$A,data!$A7,info!$B:$B,data!$G7)</f>
        <v>0.13500000000000001</v>
      </c>
      <c r="K7" s="10">
        <f>SUMIFS(info!E:E,info!$A:$A,data!$A7,info!$B:$B,data!$G7)</f>
        <v>0.17219999999999999</v>
      </c>
      <c r="L7" s="10">
        <f>SUMIFS(info!F:F,info!$A:$A,data!$A7,info!$B:$B,data!$G7)</f>
        <v>0.9</v>
      </c>
      <c r="M7" s="10">
        <f>IF(SUMIFS(info!$C$25:$C$27,info!$A$25:$A$27,data!A7,info!$B$25:$B$27,data!F7)&lt;=0,1,SUMIFS(info!$C$25:$C$27,info!$A$25:$A$27,data!A7,info!$B$25:$B$27,data!F7))*H7</f>
        <v>449328.57</v>
      </c>
      <c r="N7" s="10">
        <f t="shared" si="16"/>
        <v>76397.175000000003</v>
      </c>
      <c r="O7" s="10">
        <f t="shared" si="17"/>
        <v>28295.25</v>
      </c>
      <c r="P7" s="10">
        <f t="shared" si="18"/>
        <v>13155.593535</v>
      </c>
      <c r="Q7" s="10">
        <f t="shared" si="19"/>
        <v>509314.5</v>
      </c>
      <c r="R7" s="10">
        <f t="shared" si="20"/>
        <v>68757.457500000004</v>
      </c>
      <c r="S7" s="10">
        <f t="shared" si="21"/>
        <v>0</v>
      </c>
      <c r="T7" s="10">
        <f t="shared" si="21"/>
        <v>374235.30213698628</v>
      </c>
      <c r="U7" s="10">
        <f t="shared" si="21"/>
        <v>260979.88175342468</v>
      </c>
      <c r="V7" s="10">
        <f t="shared" si="21"/>
        <v>147724.46136986301</v>
      </c>
      <c r="W7" s="10">
        <f t="shared" si="21"/>
        <v>36931.115342465753</v>
      </c>
      <c r="X7" s="10">
        <f t="shared" si="21"/>
        <v>0</v>
      </c>
      <c r="Y7" s="10">
        <f t="shared" si="21"/>
        <v>0</v>
      </c>
      <c r="Z7" s="10">
        <f t="shared" si="21"/>
        <v>0</v>
      </c>
      <c r="AA7" s="10"/>
      <c r="AB7" s="10"/>
      <c r="AC7">
        <f t="shared" si="22"/>
        <v>0</v>
      </c>
      <c r="AD7">
        <f t="shared" si="1"/>
        <v>365</v>
      </c>
      <c r="AE7">
        <f t="shared" si="1"/>
        <v>334</v>
      </c>
      <c r="AF7">
        <f t="shared" si="1"/>
        <v>304</v>
      </c>
      <c r="AG7">
        <f t="shared" si="1"/>
        <v>273</v>
      </c>
      <c r="AH7">
        <f t="shared" si="1"/>
        <v>242</v>
      </c>
      <c r="AI7">
        <f t="shared" si="1"/>
        <v>212</v>
      </c>
      <c r="AJ7">
        <f t="shared" si="1"/>
        <v>181</v>
      </c>
      <c r="AK7">
        <f t="shared" si="1"/>
        <v>151</v>
      </c>
      <c r="AL7">
        <f t="shared" si="1"/>
        <v>120</v>
      </c>
      <c r="AM7">
        <f t="shared" si="1"/>
        <v>89</v>
      </c>
      <c r="AN7">
        <f t="shared" si="1"/>
        <v>61</v>
      </c>
      <c r="AO7">
        <f t="shared" si="1"/>
        <v>30</v>
      </c>
      <c r="AP7">
        <f t="shared" si="1"/>
        <v>0</v>
      </c>
      <c r="AQ7">
        <f t="shared" si="1"/>
        <v>-31</v>
      </c>
      <c r="AR7">
        <f t="shared" si="1"/>
        <v>-61</v>
      </c>
      <c r="AS7">
        <f t="shared" si="1"/>
        <v>-92</v>
      </c>
      <c r="AT7">
        <f t="shared" si="2"/>
        <v>-123</v>
      </c>
      <c r="AU7">
        <f t="shared" si="2"/>
        <v>-153</v>
      </c>
      <c r="AV7">
        <f t="shared" si="2"/>
        <v>-184</v>
      </c>
      <c r="AW7">
        <f t="shared" si="2"/>
        <v>-214</v>
      </c>
      <c r="AX7">
        <f t="shared" si="2"/>
        <v>-245</v>
      </c>
      <c r="AY7">
        <f t="shared" si="3"/>
        <v>0</v>
      </c>
      <c r="AZ7">
        <f t="shared" si="4"/>
        <v>365</v>
      </c>
      <c r="BA7">
        <f t="shared" si="5"/>
        <v>334</v>
      </c>
      <c r="BB7">
        <f t="shared" si="6"/>
        <v>304</v>
      </c>
      <c r="BC7">
        <f t="shared" si="7"/>
        <v>273</v>
      </c>
      <c r="BD7">
        <f t="shared" si="8"/>
        <v>242</v>
      </c>
      <c r="BE7">
        <f t="shared" si="9"/>
        <v>212</v>
      </c>
      <c r="BF7">
        <f t="shared" si="10"/>
        <v>181</v>
      </c>
      <c r="BG7">
        <f t="shared" si="11"/>
        <v>151</v>
      </c>
      <c r="BH7">
        <f t="shared" si="11"/>
        <v>120</v>
      </c>
      <c r="BI7">
        <f t="shared" si="11"/>
        <v>89</v>
      </c>
      <c r="BJ7">
        <f t="shared" si="11"/>
        <v>61</v>
      </c>
      <c r="BK7">
        <f t="shared" si="11"/>
        <v>30</v>
      </c>
      <c r="BL7">
        <f t="shared" si="11"/>
        <v>0</v>
      </c>
      <c r="BM7">
        <f t="shared" si="11"/>
        <v>0</v>
      </c>
      <c r="BN7">
        <f t="shared" si="11"/>
        <v>0</v>
      </c>
      <c r="BO7">
        <f t="shared" si="11"/>
        <v>0</v>
      </c>
      <c r="BP7">
        <f t="shared" si="11"/>
        <v>0</v>
      </c>
      <c r="BQ7">
        <f t="shared" si="11"/>
        <v>0</v>
      </c>
      <c r="BR7">
        <f t="shared" si="11"/>
        <v>0</v>
      </c>
      <c r="BS7">
        <f t="shared" si="11"/>
        <v>0</v>
      </c>
      <c r="BT7">
        <f t="shared" si="11"/>
        <v>0</v>
      </c>
    </row>
    <row r="8" spans="1:72" ht="12.95" customHeight="1" x14ac:dyDescent="0.2">
      <c r="A8">
        <f t="shared" si="12"/>
        <v>2025</v>
      </c>
      <c r="B8">
        <f t="shared" si="13"/>
        <v>6</v>
      </c>
      <c r="C8">
        <f t="shared" si="14"/>
        <v>2</v>
      </c>
      <c r="D8" s="11">
        <f>prod!A5</f>
        <v>45809</v>
      </c>
      <c r="E8" s="11">
        <f t="shared" si="15"/>
        <v>46173</v>
      </c>
      <c r="F8" s="10" t="str">
        <f>prod!B5</f>
        <v>רכב חובה</v>
      </c>
      <c r="G8" s="10" t="str">
        <f>prod!C5</f>
        <v xml:space="preserve">חובה </v>
      </c>
      <c r="H8" s="10">
        <f>prod!D5</f>
        <v>1426814</v>
      </c>
      <c r="I8" s="10">
        <f>SUMIFS(info!C:C,info!$A:$A,data!$A8,info!$B:$B,data!$G8)</f>
        <v>0.05</v>
      </c>
      <c r="J8" s="10">
        <f>SUMIFS(info!D:D,info!$A:$A,data!$A8,info!$B:$B,data!$G8)</f>
        <v>0.13500000000000001</v>
      </c>
      <c r="K8" s="10">
        <f>SUMIFS(info!E:E,info!$A:$A,data!$A8,info!$B:$B,data!$G8)</f>
        <v>0.17219999999999999</v>
      </c>
      <c r="L8" s="10">
        <f>SUMIFS(info!F:F,info!$A:$A,data!$A8,info!$B:$B,data!$G8)</f>
        <v>0.9</v>
      </c>
      <c r="M8" s="10">
        <f>IF(SUMIFS(info!$C$25:$C$27,info!$A$25:$A$27,data!A8,info!$B$25:$B$27,data!F8)&lt;=0,1,SUMIFS(info!$C$25:$C$27,info!$A$25:$A$27,data!A8,info!$B$25:$B$27,data!F8))*H8</f>
        <v>1132890.3160000001</v>
      </c>
      <c r="N8" s="10">
        <f t="shared" si="16"/>
        <v>192619.89</v>
      </c>
      <c r="O8" s="10">
        <f t="shared" si="17"/>
        <v>71340.7</v>
      </c>
      <c r="P8" s="10">
        <f t="shared" si="18"/>
        <v>33169.145058000002</v>
      </c>
      <c r="Q8" s="10">
        <f t="shared" si="19"/>
        <v>1284132.6000000001</v>
      </c>
      <c r="R8" s="10">
        <f t="shared" si="20"/>
        <v>173357.90100000001</v>
      </c>
      <c r="S8" s="10">
        <f t="shared" si="21"/>
        <v>0</v>
      </c>
      <c r="T8" s="10">
        <f t="shared" si="21"/>
        <v>1039776.0434520548</v>
      </c>
      <c r="U8" s="10">
        <f t="shared" si="21"/>
        <v>754225.60763835628</v>
      </c>
      <c r="V8" s="10">
        <f t="shared" si="21"/>
        <v>468675.17182465759</v>
      </c>
      <c r="W8" s="10">
        <f t="shared" si="21"/>
        <v>189332.35418082195</v>
      </c>
      <c r="X8" s="10">
        <f t="shared" si="21"/>
        <v>0</v>
      </c>
      <c r="Y8" s="10">
        <f t="shared" si="21"/>
        <v>0</v>
      </c>
      <c r="Z8" s="10">
        <f t="shared" si="21"/>
        <v>0</v>
      </c>
      <c r="AA8" s="10"/>
      <c r="AB8" s="10"/>
      <c r="AC8">
        <f t="shared" si="22"/>
        <v>0</v>
      </c>
      <c r="AD8">
        <f t="shared" si="1"/>
        <v>0</v>
      </c>
      <c r="AE8">
        <f t="shared" si="1"/>
        <v>365</v>
      </c>
      <c r="AF8">
        <f t="shared" si="1"/>
        <v>335</v>
      </c>
      <c r="AG8">
        <f t="shared" si="1"/>
        <v>304</v>
      </c>
      <c r="AH8">
        <f t="shared" si="1"/>
        <v>273</v>
      </c>
      <c r="AI8">
        <f t="shared" si="1"/>
        <v>243</v>
      </c>
      <c r="AJ8">
        <f t="shared" si="1"/>
        <v>212</v>
      </c>
      <c r="AK8">
        <f t="shared" si="1"/>
        <v>182</v>
      </c>
      <c r="AL8">
        <f t="shared" si="1"/>
        <v>151</v>
      </c>
      <c r="AM8">
        <f t="shared" si="1"/>
        <v>120</v>
      </c>
      <c r="AN8">
        <f t="shared" si="1"/>
        <v>92</v>
      </c>
      <c r="AO8">
        <f t="shared" si="1"/>
        <v>61</v>
      </c>
      <c r="AP8">
        <f t="shared" si="1"/>
        <v>31</v>
      </c>
      <c r="AQ8">
        <f t="shared" si="1"/>
        <v>0</v>
      </c>
      <c r="AR8">
        <f t="shared" si="1"/>
        <v>-30</v>
      </c>
      <c r="AS8">
        <f t="shared" si="1"/>
        <v>-61</v>
      </c>
      <c r="AT8">
        <f t="shared" si="2"/>
        <v>-92</v>
      </c>
      <c r="AU8">
        <f t="shared" si="2"/>
        <v>-122</v>
      </c>
      <c r="AV8">
        <f t="shared" si="2"/>
        <v>-153</v>
      </c>
      <c r="AW8">
        <f t="shared" si="2"/>
        <v>-183</v>
      </c>
      <c r="AX8">
        <f t="shared" si="2"/>
        <v>-214</v>
      </c>
      <c r="AY8">
        <f t="shared" si="3"/>
        <v>0</v>
      </c>
      <c r="AZ8">
        <f t="shared" si="4"/>
        <v>0</v>
      </c>
      <c r="BA8">
        <f t="shared" si="5"/>
        <v>365</v>
      </c>
      <c r="BB8">
        <f t="shared" si="6"/>
        <v>335</v>
      </c>
      <c r="BC8">
        <f t="shared" si="7"/>
        <v>304</v>
      </c>
      <c r="BD8">
        <f t="shared" si="8"/>
        <v>273</v>
      </c>
      <c r="BE8">
        <f t="shared" si="9"/>
        <v>243</v>
      </c>
      <c r="BF8">
        <f t="shared" si="10"/>
        <v>212</v>
      </c>
      <c r="BG8">
        <f t="shared" si="11"/>
        <v>182</v>
      </c>
      <c r="BH8">
        <f t="shared" si="11"/>
        <v>151</v>
      </c>
      <c r="BI8">
        <f t="shared" si="11"/>
        <v>120</v>
      </c>
      <c r="BJ8">
        <f t="shared" si="11"/>
        <v>92</v>
      </c>
      <c r="BK8">
        <f t="shared" si="11"/>
        <v>61</v>
      </c>
      <c r="BL8">
        <f t="shared" si="11"/>
        <v>31</v>
      </c>
      <c r="BM8">
        <f t="shared" si="11"/>
        <v>0</v>
      </c>
      <c r="BN8">
        <f t="shared" si="11"/>
        <v>0</v>
      </c>
      <c r="BO8">
        <f t="shared" si="11"/>
        <v>0</v>
      </c>
      <c r="BP8">
        <f t="shared" si="11"/>
        <v>0</v>
      </c>
      <c r="BQ8">
        <f t="shared" si="11"/>
        <v>0</v>
      </c>
      <c r="BR8">
        <f t="shared" si="11"/>
        <v>0</v>
      </c>
      <c r="BS8">
        <f t="shared" si="11"/>
        <v>0</v>
      </c>
      <c r="BT8">
        <f t="shared" si="11"/>
        <v>0</v>
      </c>
    </row>
    <row r="9" spans="1:72" ht="12.95" customHeight="1" x14ac:dyDescent="0.2">
      <c r="A9">
        <f t="shared" si="12"/>
        <v>2025</v>
      </c>
      <c r="B9">
        <f t="shared" si="13"/>
        <v>7</v>
      </c>
      <c r="C9">
        <f t="shared" si="14"/>
        <v>3</v>
      </c>
      <c r="D9" s="11">
        <f>prod!A6</f>
        <v>45839</v>
      </c>
      <c r="E9" s="11">
        <f t="shared" si="15"/>
        <v>46203</v>
      </c>
      <c r="F9" s="10" t="str">
        <f>prod!B6</f>
        <v>רכב חובה</v>
      </c>
      <c r="G9" s="10" t="str">
        <f>prod!C6</f>
        <v xml:space="preserve">חובה </v>
      </c>
      <c r="H9" s="10">
        <f>prod!D6</f>
        <v>2492297</v>
      </c>
      <c r="I9" s="10">
        <f>SUMIFS(info!C:C,info!$A:$A,data!$A9,info!$B:$B,data!$G9)</f>
        <v>0.05</v>
      </c>
      <c r="J9" s="10">
        <f>SUMIFS(info!D:D,info!$A:$A,data!$A9,info!$B:$B,data!$G9)</f>
        <v>0.13500000000000001</v>
      </c>
      <c r="K9" s="10">
        <f>SUMIFS(info!E:E,info!$A:$A,data!$A9,info!$B:$B,data!$G9)</f>
        <v>0.17219999999999999</v>
      </c>
      <c r="L9" s="10">
        <f>SUMIFS(info!F:F,info!$A:$A,data!$A9,info!$B:$B,data!$G9)</f>
        <v>0.9</v>
      </c>
      <c r="M9" s="10">
        <f>IF(SUMIFS(info!$C$25:$C$27,info!$A$25:$A$27,data!A9,info!$B$25:$B$27,data!F9)&lt;=0,1,SUMIFS(info!$C$25:$C$27,info!$A$25:$A$27,data!A9,info!$B$25:$B$27,data!F9))*H9</f>
        <v>1978883.8180000002</v>
      </c>
      <c r="N9" s="10">
        <f t="shared" si="16"/>
        <v>336460.09500000003</v>
      </c>
      <c r="O9" s="10">
        <f t="shared" si="17"/>
        <v>124614.85</v>
      </c>
      <c r="P9" s="10">
        <f t="shared" si="18"/>
        <v>57938.428359000005</v>
      </c>
      <c r="Q9" s="10">
        <f t="shared" si="19"/>
        <v>2243067.3000000003</v>
      </c>
      <c r="R9" s="10">
        <f t="shared" si="20"/>
        <v>302814.08550000004</v>
      </c>
      <c r="S9" s="10">
        <f t="shared" si="21"/>
        <v>0</v>
      </c>
      <c r="T9" s="10">
        <f t="shared" si="21"/>
        <v>0</v>
      </c>
      <c r="U9" s="10">
        <f t="shared" si="21"/>
        <v>1480096.6638739726</v>
      </c>
      <c r="V9" s="10">
        <f t="shared" si="21"/>
        <v>981309.50974794524</v>
      </c>
      <c r="W9" s="10">
        <f t="shared" si="21"/>
        <v>493365.55462465761</v>
      </c>
      <c r="X9" s="10">
        <f t="shared" si="21"/>
        <v>0</v>
      </c>
      <c r="Y9" s="10">
        <f t="shared" si="21"/>
        <v>0</v>
      </c>
      <c r="Z9" s="10">
        <f t="shared" si="21"/>
        <v>0</v>
      </c>
      <c r="AA9" s="10"/>
      <c r="AB9" s="10"/>
      <c r="AC9">
        <f t="shared" si="22"/>
        <v>0</v>
      </c>
      <c r="AD9">
        <f t="shared" si="1"/>
        <v>0</v>
      </c>
      <c r="AE9">
        <f t="shared" si="1"/>
        <v>0</v>
      </c>
      <c r="AF9">
        <f t="shared" si="1"/>
        <v>365</v>
      </c>
      <c r="AG9">
        <f t="shared" si="1"/>
        <v>334</v>
      </c>
      <c r="AH9">
        <f t="shared" si="1"/>
        <v>303</v>
      </c>
      <c r="AI9">
        <f t="shared" si="1"/>
        <v>273</v>
      </c>
      <c r="AJ9">
        <f t="shared" si="1"/>
        <v>242</v>
      </c>
      <c r="AK9">
        <f t="shared" si="1"/>
        <v>212</v>
      </c>
      <c r="AL9">
        <f t="shared" si="1"/>
        <v>181</v>
      </c>
      <c r="AM9">
        <f t="shared" si="1"/>
        <v>150</v>
      </c>
      <c r="AN9">
        <f t="shared" si="1"/>
        <v>122</v>
      </c>
      <c r="AO9">
        <f t="shared" si="1"/>
        <v>91</v>
      </c>
      <c r="AP9">
        <f t="shared" si="1"/>
        <v>61</v>
      </c>
      <c r="AQ9">
        <f t="shared" si="1"/>
        <v>30</v>
      </c>
      <c r="AR9">
        <f t="shared" si="1"/>
        <v>0</v>
      </c>
      <c r="AS9">
        <f t="shared" si="1"/>
        <v>-31</v>
      </c>
      <c r="AT9">
        <f t="shared" si="2"/>
        <v>-62</v>
      </c>
      <c r="AU9">
        <f t="shared" si="2"/>
        <v>-92</v>
      </c>
      <c r="AV9">
        <f t="shared" si="2"/>
        <v>-123</v>
      </c>
      <c r="AW9">
        <f t="shared" si="2"/>
        <v>-153</v>
      </c>
      <c r="AX9">
        <f t="shared" si="2"/>
        <v>-184</v>
      </c>
      <c r="AY9">
        <f t="shared" si="3"/>
        <v>0</v>
      </c>
      <c r="AZ9">
        <f t="shared" si="4"/>
        <v>0</v>
      </c>
      <c r="BA9">
        <f t="shared" si="5"/>
        <v>0</v>
      </c>
      <c r="BB9">
        <f t="shared" si="6"/>
        <v>365</v>
      </c>
      <c r="BC9">
        <f t="shared" si="7"/>
        <v>334</v>
      </c>
      <c r="BD9">
        <f t="shared" si="8"/>
        <v>303</v>
      </c>
      <c r="BE9">
        <f t="shared" si="9"/>
        <v>273</v>
      </c>
      <c r="BF9">
        <f t="shared" si="10"/>
        <v>242</v>
      </c>
      <c r="BG9">
        <f t="shared" si="11"/>
        <v>212</v>
      </c>
      <c r="BH9">
        <f t="shared" si="11"/>
        <v>181</v>
      </c>
      <c r="BI9">
        <f t="shared" si="11"/>
        <v>150</v>
      </c>
      <c r="BJ9">
        <f t="shared" si="11"/>
        <v>122</v>
      </c>
      <c r="BK9">
        <f t="shared" si="11"/>
        <v>91</v>
      </c>
      <c r="BL9">
        <f t="shared" si="11"/>
        <v>61</v>
      </c>
      <c r="BM9">
        <f t="shared" si="11"/>
        <v>30</v>
      </c>
      <c r="BN9">
        <f t="shared" si="11"/>
        <v>0</v>
      </c>
      <c r="BO9">
        <f t="shared" si="11"/>
        <v>0</v>
      </c>
      <c r="BP9">
        <f t="shared" si="11"/>
        <v>0</v>
      </c>
      <c r="BQ9">
        <f t="shared" si="11"/>
        <v>0</v>
      </c>
      <c r="BR9">
        <f t="shared" si="11"/>
        <v>0</v>
      </c>
      <c r="BS9">
        <f t="shared" si="11"/>
        <v>0</v>
      </c>
      <c r="BT9">
        <f t="shared" si="11"/>
        <v>0</v>
      </c>
    </row>
    <row r="10" spans="1:72" ht="12.95" customHeight="1" x14ac:dyDescent="0.2">
      <c r="A10">
        <f t="shared" si="12"/>
        <v>2025</v>
      </c>
      <c r="B10">
        <f t="shared" si="13"/>
        <v>8</v>
      </c>
      <c r="C10">
        <f t="shared" si="14"/>
        <v>3</v>
      </c>
      <c r="D10" s="11">
        <f>prod!A7</f>
        <v>45870</v>
      </c>
      <c r="E10" s="11">
        <f t="shared" si="15"/>
        <v>46234</v>
      </c>
      <c r="F10" s="10" t="str">
        <f>prod!B7</f>
        <v>רכב חובה</v>
      </c>
      <c r="G10" s="10" t="str">
        <f>prod!C7</f>
        <v xml:space="preserve">חובה </v>
      </c>
      <c r="H10" s="10">
        <f>prod!D7</f>
        <v>3093156</v>
      </c>
      <c r="I10" s="10">
        <f>SUMIFS(info!C:C,info!$A:$A,data!$A10,info!$B:$B,data!$G10)</f>
        <v>0.05</v>
      </c>
      <c r="J10" s="10">
        <f>SUMIFS(info!D:D,info!$A:$A,data!$A10,info!$B:$B,data!$G10)</f>
        <v>0.13500000000000001</v>
      </c>
      <c r="K10" s="10">
        <f>SUMIFS(info!E:E,info!$A:$A,data!$A10,info!$B:$B,data!$G10)</f>
        <v>0.17219999999999999</v>
      </c>
      <c r="L10" s="10">
        <f>SUMIFS(info!F:F,info!$A:$A,data!$A10,info!$B:$B,data!$G10)</f>
        <v>0.9</v>
      </c>
      <c r="M10" s="10">
        <f>IF(SUMIFS(info!$C$25:$C$27,info!$A$25:$A$27,data!A10,info!$B$25:$B$27,data!F10)&lt;=0,1,SUMIFS(info!$C$25:$C$27,info!$A$25:$A$27,data!A10,info!$B$25:$B$27,data!F10))*H10</f>
        <v>2455965.8640000001</v>
      </c>
      <c r="N10" s="10">
        <f t="shared" si="16"/>
        <v>417576.06000000006</v>
      </c>
      <c r="O10" s="10">
        <f t="shared" si="17"/>
        <v>154657.80000000002</v>
      </c>
      <c r="P10" s="10">
        <f t="shared" si="18"/>
        <v>71906.597532</v>
      </c>
      <c r="Q10" s="10">
        <f t="shared" si="19"/>
        <v>2783840.4</v>
      </c>
      <c r="R10" s="10">
        <f t="shared" si="20"/>
        <v>375818.45400000003</v>
      </c>
      <c r="S10" s="10">
        <f t="shared" si="21"/>
        <v>0</v>
      </c>
      <c r="T10" s="10">
        <f t="shared" si="21"/>
        <v>0</v>
      </c>
      <c r="U10" s="10">
        <f t="shared" si="21"/>
        <v>2045516.7744</v>
      </c>
      <c r="V10" s="10">
        <f t="shared" si="21"/>
        <v>1426478.8032</v>
      </c>
      <c r="W10" s="10">
        <f t="shared" si="21"/>
        <v>820898.17920000001</v>
      </c>
      <c r="X10" s="10">
        <f t="shared" si="21"/>
        <v>208588.88160000002</v>
      </c>
      <c r="Y10" s="10">
        <f t="shared" si="21"/>
        <v>0</v>
      </c>
      <c r="Z10" s="10">
        <f t="shared" si="21"/>
        <v>0</v>
      </c>
      <c r="AA10" s="10"/>
      <c r="AB10" s="10"/>
      <c r="AC10">
        <f t="shared" si="22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365</v>
      </c>
      <c r="AH10">
        <f t="shared" si="1"/>
        <v>334</v>
      </c>
      <c r="AI10">
        <f t="shared" si="1"/>
        <v>304</v>
      </c>
      <c r="AJ10">
        <f t="shared" si="1"/>
        <v>273</v>
      </c>
      <c r="AK10">
        <f t="shared" si="1"/>
        <v>243</v>
      </c>
      <c r="AL10">
        <f t="shared" si="1"/>
        <v>212</v>
      </c>
      <c r="AM10">
        <f t="shared" si="1"/>
        <v>181</v>
      </c>
      <c r="AN10">
        <f t="shared" si="1"/>
        <v>153</v>
      </c>
      <c r="AO10">
        <f t="shared" si="1"/>
        <v>122</v>
      </c>
      <c r="AP10">
        <f t="shared" si="1"/>
        <v>92</v>
      </c>
      <c r="AQ10">
        <f t="shared" si="1"/>
        <v>61</v>
      </c>
      <c r="AR10">
        <f t="shared" si="1"/>
        <v>31</v>
      </c>
      <c r="AS10">
        <f t="shared" si="1"/>
        <v>0</v>
      </c>
      <c r="AT10">
        <f t="shared" si="2"/>
        <v>-31</v>
      </c>
      <c r="AU10">
        <f t="shared" si="2"/>
        <v>-61</v>
      </c>
      <c r="AV10">
        <f t="shared" si="2"/>
        <v>-92</v>
      </c>
      <c r="AW10">
        <f t="shared" si="2"/>
        <v>-122</v>
      </c>
      <c r="AX10">
        <f t="shared" si="2"/>
        <v>-153</v>
      </c>
      <c r="AY10">
        <f t="shared" si="3"/>
        <v>0</v>
      </c>
      <c r="AZ10">
        <f t="shared" si="4"/>
        <v>0</v>
      </c>
      <c r="BA10">
        <f t="shared" si="5"/>
        <v>0</v>
      </c>
      <c r="BB10">
        <f t="shared" si="6"/>
        <v>0</v>
      </c>
      <c r="BC10">
        <f t="shared" si="7"/>
        <v>365</v>
      </c>
      <c r="BD10">
        <f t="shared" si="8"/>
        <v>334</v>
      </c>
      <c r="BE10">
        <f t="shared" si="9"/>
        <v>304</v>
      </c>
      <c r="BF10">
        <f t="shared" si="10"/>
        <v>273</v>
      </c>
      <c r="BG10">
        <f t="shared" si="11"/>
        <v>243</v>
      </c>
      <c r="BH10">
        <f t="shared" si="11"/>
        <v>212</v>
      </c>
      <c r="BI10">
        <f t="shared" si="11"/>
        <v>181</v>
      </c>
      <c r="BJ10">
        <f t="shared" si="11"/>
        <v>153</v>
      </c>
      <c r="BK10">
        <f t="shared" si="11"/>
        <v>122</v>
      </c>
      <c r="BL10">
        <f t="shared" si="11"/>
        <v>92</v>
      </c>
      <c r="BM10">
        <f t="shared" si="11"/>
        <v>61</v>
      </c>
      <c r="BN10">
        <f t="shared" si="11"/>
        <v>31</v>
      </c>
      <c r="BO10">
        <f t="shared" si="11"/>
        <v>0</v>
      </c>
      <c r="BP10">
        <f t="shared" si="11"/>
        <v>0</v>
      </c>
      <c r="BQ10">
        <f t="shared" si="11"/>
        <v>0</v>
      </c>
      <c r="BR10">
        <f t="shared" si="11"/>
        <v>0</v>
      </c>
      <c r="BS10">
        <f t="shared" si="11"/>
        <v>0</v>
      </c>
      <c r="BT10">
        <f t="shared" si="11"/>
        <v>0</v>
      </c>
    </row>
    <row r="11" spans="1:72" ht="12.95" customHeight="1" x14ac:dyDescent="0.2">
      <c r="A11">
        <f t="shared" si="12"/>
        <v>2025</v>
      </c>
      <c r="B11">
        <f t="shared" si="13"/>
        <v>9</v>
      </c>
      <c r="C11">
        <f t="shared" si="14"/>
        <v>3</v>
      </c>
      <c r="D11" s="11">
        <f>prod!A8</f>
        <v>45901</v>
      </c>
      <c r="E11" s="11">
        <f t="shared" si="15"/>
        <v>46265</v>
      </c>
      <c r="F11" s="10" t="str">
        <f>prod!B8</f>
        <v>רכב חובה</v>
      </c>
      <c r="G11" s="10" t="str">
        <f>prod!C8</f>
        <v xml:space="preserve">חובה </v>
      </c>
      <c r="H11" s="10">
        <f>prod!D8</f>
        <v>5066358</v>
      </c>
      <c r="I11" s="10">
        <f>SUMIFS(info!C:C,info!$A:$A,data!$A11,info!$B:$B,data!$G11)</f>
        <v>0.05</v>
      </c>
      <c r="J11" s="10">
        <f>SUMIFS(info!D:D,info!$A:$A,data!$A11,info!$B:$B,data!$G11)</f>
        <v>0.13500000000000001</v>
      </c>
      <c r="K11" s="10">
        <f>SUMIFS(info!E:E,info!$A:$A,data!$A11,info!$B:$B,data!$G11)</f>
        <v>0.17219999999999999</v>
      </c>
      <c r="L11" s="10">
        <f>SUMIFS(info!F:F,info!$A:$A,data!$A11,info!$B:$B,data!$G11)</f>
        <v>0.9</v>
      </c>
      <c r="M11" s="10">
        <f>IF(SUMIFS(info!$C$25:$C$27,info!$A$25:$A$27,data!A11,info!$B$25:$B$27,data!F11)&lt;=0,1,SUMIFS(info!$C$25:$C$27,info!$A$25:$A$27,data!A11,info!$B$25:$B$27,data!F11))*H11</f>
        <v>4022688.2520000003</v>
      </c>
      <c r="N11" s="10">
        <f t="shared" si="16"/>
        <v>683958.33000000007</v>
      </c>
      <c r="O11" s="10">
        <f t="shared" si="17"/>
        <v>253317.90000000002</v>
      </c>
      <c r="P11" s="10">
        <f t="shared" si="18"/>
        <v>117777.62442600001</v>
      </c>
      <c r="Q11" s="10">
        <f t="shared" si="19"/>
        <v>4559722.2</v>
      </c>
      <c r="R11" s="10">
        <f t="shared" si="20"/>
        <v>615562.49700000009</v>
      </c>
      <c r="S11" s="10">
        <f t="shared" si="21"/>
        <v>0</v>
      </c>
      <c r="T11" s="10">
        <f t="shared" si="21"/>
        <v>0</v>
      </c>
      <c r="U11" s="10">
        <f t="shared" si="21"/>
        <v>3692056.3408767125</v>
      </c>
      <c r="V11" s="10">
        <f t="shared" si="21"/>
        <v>2678118.4800986303</v>
      </c>
      <c r="W11" s="10">
        <f t="shared" si="21"/>
        <v>1686222.7467287672</v>
      </c>
      <c r="X11" s="10">
        <f t="shared" si="21"/>
        <v>683305.94965479453</v>
      </c>
      <c r="Y11" s="10">
        <f t="shared" si="21"/>
        <v>0</v>
      </c>
      <c r="Z11" s="10">
        <f t="shared" si="21"/>
        <v>0</v>
      </c>
      <c r="AA11" s="10"/>
      <c r="AB11" s="10"/>
      <c r="AC11">
        <f t="shared" si="22"/>
        <v>0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1"/>
        <v>0</v>
      </c>
      <c r="AH11">
        <f t="shared" si="1"/>
        <v>365</v>
      </c>
      <c r="AI11">
        <f t="shared" si="1"/>
        <v>335</v>
      </c>
      <c r="AJ11">
        <f t="shared" si="1"/>
        <v>304</v>
      </c>
      <c r="AK11">
        <f t="shared" si="1"/>
        <v>274</v>
      </c>
      <c r="AL11">
        <f t="shared" si="1"/>
        <v>243</v>
      </c>
      <c r="AM11">
        <f t="shared" si="1"/>
        <v>212</v>
      </c>
      <c r="AN11">
        <f t="shared" si="1"/>
        <v>184</v>
      </c>
      <c r="AO11">
        <f t="shared" si="1"/>
        <v>153</v>
      </c>
      <c r="AP11">
        <f t="shared" si="1"/>
        <v>123</v>
      </c>
      <c r="AQ11">
        <f t="shared" si="1"/>
        <v>92</v>
      </c>
      <c r="AR11">
        <f t="shared" si="1"/>
        <v>62</v>
      </c>
      <c r="AS11">
        <f t="shared" si="1"/>
        <v>31</v>
      </c>
      <c r="AT11">
        <f t="shared" si="2"/>
        <v>0</v>
      </c>
      <c r="AU11">
        <f t="shared" si="2"/>
        <v>-30</v>
      </c>
      <c r="AV11">
        <f t="shared" si="2"/>
        <v>-61</v>
      </c>
      <c r="AW11">
        <f t="shared" si="2"/>
        <v>-91</v>
      </c>
      <c r="AX11">
        <f t="shared" si="2"/>
        <v>-122</v>
      </c>
      <c r="AY11">
        <f t="shared" si="3"/>
        <v>0</v>
      </c>
      <c r="AZ11">
        <f t="shared" si="4"/>
        <v>0</v>
      </c>
      <c r="BA11">
        <f t="shared" si="5"/>
        <v>0</v>
      </c>
      <c r="BB11">
        <f t="shared" si="6"/>
        <v>0</v>
      </c>
      <c r="BC11">
        <f t="shared" si="7"/>
        <v>0</v>
      </c>
      <c r="BD11">
        <f t="shared" si="8"/>
        <v>365</v>
      </c>
      <c r="BE11">
        <f t="shared" si="9"/>
        <v>335</v>
      </c>
      <c r="BF11">
        <f t="shared" si="10"/>
        <v>304</v>
      </c>
      <c r="BG11">
        <f t="shared" si="11"/>
        <v>274</v>
      </c>
      <c r="BH11">
        <f t="shared" si="11"/>
        <v>243</v>
      </c>
      <c r="BI11">
        <f t="shared" si="11"/>
        <v>212</v>
      </c>
      <c r="BJ11">
        <f t="shared" si="11"/>
        <v>184</v>
      </c>
      <c r="BK11">
        <f t="shared" si="11"/>
        <v>153</v>
      </c>
      <c r="BL11">
        <f t="shared" si="11"/>
        <v>123</v>
      </c>
      <c r="BM11">
        <f t="shared" si="11"/>
        <v>92</v>
      </c>
      <c r="BN11">
        <f t="shared" si="11"/>
        <v>62</v>
      </c>
      <c r="BO11">
        <f t="shared" si="11"/>
        <v>31</v>
      </c>
      <c r="BP11">
        <f t="shared" si="11"/>
        <v>0</v>
      </c>
      <c r="BQ11">
        <f t="shared" si="11"/>
        <v>0</v>
      </c>
      <c r="BR11">
        <f t="shared" si="11"/>
        <v>0</v>
      </c>
      <c r="BS11">
        <f t="shared" si="11"/>
        <v>0</v>
      </c>
      <c r="BT11">
        <f t="shared" si="11"/>
        <v>0</v>
      </c>
    </row>
    <row r="12" spans="1:72" ht="12.95" customHeight="1" x14ac:dyDescent="0.2">
      <c r="A12">
        <f t="shared" si="12"/>
        <v>2025</v>
      </c>
      <c r="B12">
        <f t="shared" si="13"/>
        <v>10</v>
      </c>
      <c r="C12">
        <f t="shared" si="14"/>
        <v>4</v>
      </c>
      <c r="D12" s="11">
        <f>prod!A9</f>
        <v>45931</v>
      </c>
      <c r="E12" s="11">
        <f t="shared" si="15"/>
        <v>46295</v>
      </c>
      <c r="F12" s="10" t="str">
        <f>prod!B9</f>
        <v>רכב חובה</v>
      </c>
      <c r="G12" s="10" t="str">
        <f>prod!C9</f>
        <v xml:space="preserve">חובה </v>
      </c>
      <c r="H12" s="10">
        <f>prod!D9</f>
        <v>5169409</v>
      </c>
      <c r="I12" s="10">
        <f>SUMIFS(info!C:C,info!$A:$A,data!$A12,info!$B:$B,data!$G12)</f>
        <v>0.05</v>
      </c>
      <c r="J12" s="10">
        <f>SUMIFS(info!D:D,info!$A:$A,data!$A12,info!$B:$B,data!$G12)</f>
        <v>0.13500000000000001</v>
      </c>
      <c r="K12" s="10">
        <f>SUMIFS(info!E:E,info!$A:$A,data!$A12,info!$B:$B,data!$G12)</f>
        <v>0.17219999999999999</v>
      </c>
      <c r="L12" s="10">
        <f>SUMIFS(info!F:F,info!$A:$A,data!$A12,info!$B:$B,data!$G12)</f>
        <v>0.9</v>
      </c>
      <c r="M12" s="10">
        <f>IF(SUMIFS(info!$C$25:$C$27,info!$A$25:$A$27,data!A12,info!$B$25:$B$27,data!F12)&lt;=0,1,SUMIFS(info!$C$25:$C$27,info!$A$25:$A$27,data!A12,info!$B$25:$B$27,data!F12))*H12</f>
        <v>4104510.7460000003</v>
      </c>
      <c r="N12" s="10">
        <f t="shared" si="16"/>
        <v>697870.21500000008</v>
      </c>
      <c r="O12" s="10">
        <f t="shared" si="17"/>
        <v>258470.45</v>
      </c>
      <c r="P12" s="10">
        <f t="shared" si="18"/>
        <v>120173.251023</v>
      </c>
      <c r="Q12" s="10">
        <f t="shared" si="19"/>
        <v>4652468.1000000006</v>
      </c>
      <c r="R12" s="10">
        <f t="shared" si="20"/>
        <v>628083.19350000017</v>
      </c>
      <c r="S12" s="10">
        <f t="shared" si="21"/>
        <v>0</v>
      </c>
      <c r="T12" s="10">
        <f t="shared" si="21"/>
        <v>0</v>
      </c>
      <c r="U12" s="10">
        <f t="shared" si="21"/>
        <v>0</v>
      </c>
      <c r="V12" s="10">
        <f t="shared" si="21"/>
        <v>3069949.1333095892</v>
      </c>
      <c r="W12" s="10">
        <f t="shared" si="21"/>
        <v>2057877.990460274</v>
      </c>
      <c r="X12" s="10">
        <f t="shared" si="21"/>
        <v>1034561.612690411</v>
      </c>
      <c r="Y12" s="10">
        <f t="shared" si="21"/>
        <v>0</v>
      </c>
      <c r="Z12" s="10">
        <f t="shared" si="21"/>
        <v>0</v>
      </c>
      <c r="AA12" s="10"/>
      <c r="AB12" s="10"/>
      <c r="AC12">
        <f t="shared" si="22"/>
        <v>0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1"/>
        <v>0</v>
      </c>
      <c r="AI12">
        <f t="shared" si="1"/>
        <v>365</v>
      </c>
      <c r="AJ12">
        <f t="shared" si="1"/>
        <v>334</v>
      </c>
      <c r="AK12">
        <f t="shared" si="1"/>
        <v>304</v>
      </c>
      <c r="AL12">
        <f t="shared" si="1"/>
        <v>273</v>
      </c>
      <c r="AM12">
        <f t="shared" si="1"/>
        <v>242</v>
      </c>
      <c r="AN12">
        <f t="shared" si="1"/>
        <v>214</v>
      </c>
      <c r="AO12">
        <f t="shared" si="1"/>
        <v>183</v>
      </c>
      <c r="AP12">
        <f t="shared" si="1"/>
        <v>153</v>
      </c>
      <c r="AQ12">
        <f t="shared" si="1"/>
        <v>122</v>
      </c>
      <c r="AR12">
        <f t="shared" si="1"/>
        <v>92</v>
      </c>
      <c r="AS12">
        <f t="shared" si="1"/>
        <v>61</v>
      </c>
      <c r="AT12">
        <f t="shared" si="2"/>
        <v>30</v>
      </c>
      <c r="AU12">
        <f t="shared" si="2"/>
        <v>0</v>
      </c>
      <c r="AV12">
        <f t="shared" si="2"/>
        <v>-31</v>
      </c>
      <c r="AW12">
        <f t="shared" si="2"/>
        <v>-61</v>
      </c>
      <c r="AX12">
        <f t="shared" si="2"/>
        <v>-92</v>
      </c>
      <c r="AY12">
        <f t="shared" si="3"/>
        <v>0</v>
      </c>
      <c r="AZ12">
        <f t="shared" si="4"/>
        <v>0</v>
      </c>
      <c r="BA12">
        <f t="shared" si="5"/>
        <v>0</v>
      </c>
      <c r="BB12">
        <f t="shared" si="6"/>
        <v>0</v>
      </c>
      <c r="BC12">
        <f t="shared" si="7"/>
        <v>0</v>
      </c>
      <c r="BD12">
        <f t="shared" si="8"/>
        <v>0</v>
      </c>
      <c r="BE12">
        <f t="shared" si="9"/>
        <v>365</v>
      </c>
      <c r="BF12">
        <f t="shared" si="10"/>
        <v>334</v>
      </c>
      <c r="BG12">
        <f t="shared" si="11"/>
        <v>304</v>
      </c>
      <c r="BH12">
        <f t="shared" si="11"/>
        <v>273</v>
      </c>
      <c r="BI12">
        <f t="shared" si="11"/>
        <v>242</v>
      </c>
      <c r="BJ12">
        <f t="shared" si="11"/>
        <v>214</v>
      </c>
      <c r="BK12">
        <f t="shared" si="11"/>
        <v>183</v>
      </c>
      <c r="BL12">
        <f t="shared" si="11"/>
        <v>153</v>
      </c>
      <c r="BM12">
        <f t="shared" si="11"/>
        <v>122</v>
      </c>
      <c r="BN12">
        <f t="shared" si="11"/>
        <v>92</v>
      </c>
      <c r="BO12">
        <f t="shared" si="11"/>
        <v>61</v>
      </c>
      <c r="BP12">
        <f t="shared" si="11"/>
        <v>30</v>
      </c>
      <c r="BQ12">
        <f t="shared" si="11"/>
        <v>0</v>
      </c>
      <c r="BR12">
        <f t="shared" si="11"/>
        <v>0</v>
      </c>
      <c r="BS12">
        <f t="shared" si="11"/>
        <v>0</v>
      </c>
      <c r="BT12">
        <f t="shared" si="11"/>
        <v>0</v>
      </c>
    </row>
    <row r="13" spans="1:72" ht="12.95" customHeight="1" x14ac:dyDescent="0.2">
      <c r="A13">
        <f t="shared" si="12"/>
        <v>2025</v>
      </c>
      <c r="B13">
        <f t="shared" si="13"/>
        <v>11</v>
      </c>
      <c r="C13">
        <f t="shared" si="14"/>
        <v>4</v>
      </c>
      <c r="D13" s="11">
        <f>prod!A10</f>
        <v>45962</v>
      </c>
      <c r="E13" s="11">
        <f t="shared" si="15"/>
        <v>46326</v>
      </c>
      <c r="F13" s="10" t="str">
        <f>prod!B10</f>
        <v>רכב חובה</v>
      </c>
      <c r="G13" s="10" t="str">
        <f>prod!C10</f>
        <v xml:space="preserve">חובה </v>
      </c>
      <c r="H13" s="10">
        <f>prod!D10</f>
        <v>5963173</v>
      </c>
      <c r="I13" s="10">
        <f>SUMIFS(info!C:C,info!$A:$A,data!$A13,info!$B:$B,data!$G13)</f>
        <v>0.05</v>
      </c>
      <c r="J13" s="10">
        <f>SUMIFS(info!D:D,info!$A:$A,data!$A13,info!$B:$B,data!$G13)</f>
        <v>0.13500000000000001</v>
      </c>
      <c r="K13" s="10">
        <f>SUMIFS(info!E:E,info!$A:$A,data!$A13,info!$B:$B,data!$G13)</f>
        <v>0.17219999999999999</v>
      </c>
      <c r="L13" s="10">
        <f>SUMIFS(info!F:F,info!$A:$A,data!$A13,info!$B:$B,data!$G13)</f>
        <v>0.9</v>
      </c>
      <c r="M13" s="10">
        <f>IF(SUMIFS(info!$C$25:$C$27,info!$A$25:$A$27,data!A13,info!$B$25:$B$27,data!F13)&lt;=0,1,SUMIFS(info!$C$25:$C$27,info!$A$25:$A$27,data!A13,info!$B$25:$B$27,data!F13))*H13</f>
        <v>4734759.3620000007</v>
      </c>
      <c r="N13" s="10">
        <f t="shared" si="16"/>
        <v>805028.3550000001</v>
      </c>
      <c r="O13" s="10">
        <f t="shared" si="17"/>
        <v>298158.65000000002</v>
      </c>
      <c r="P13" s="10">
        <f t="shared" si="18"/>
        <v>138625.88273100002</v>
      </c>
      <c r="Q13" s="10">
        <f t="shared" si="19"/>
        <v>5366855.7</v>
      </c>
      <c r="R13" s="10">
        <f t="shared" si="20"/>
        <v>724525.51950000005</v>
      </c>
      <c r="S13" s="10">
        <f t="shared" si="21"/>
        <v>0</v>
      </c>
      <c r="T13" s="10">
        <f t="shared" si="21"/>
        <v>0</v>
      </c>
      <c r="U13" s="10">
        <f t="shared" si="21"/>
        <v>0</v>
      </c>
      <c r="V13" s="10">
        <f t="shared" si="21"/>
        <v>3943470.8110904112</v>
      </c>
      <c r="W13" s="10">
        <f t="shared" si="21"/>
        <v>2775995.8999123294</v>
      </c>
      <c r="X13" s="10">
        <f t="shared" si="21"/>
        <v>1595549.0452767124</v>
      </c>
      <c r="Y13" s="10">
        <f t="shared" si="21"/>
        <v>402130.24718356173</v>
      </c>
      <c r="Z13" s="10">
        <f t="shared" si="21"/>
        <v>0</v>
      </c>
      <c r="AA13" s="10"/>
      <c r="AB13" s="10"/>
      <c r="AC13">
        <f t="shared" si="22"/>
        <v>0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1"/>
        <v>0</v>
      </c>
      <c r="AI13">
        <f t="shared" si="1"/>
        <v>0</v>
      </c>
      <c r="AJ13">
        <f t="shared" si="1"/>
        <v>365</v>
      </c>
      <c r="AK13">
        <f t="shared" si="1"/>
        <v>335</v>
      </c>
      <c r="AL13">
        <f t="shared" si="1"/>
        <v>304</v>
      </c>
      <c r="AM13">
        <f t="shared" si="1"/>
        <v>273</v>
      </c>
      <c r="AN13">
        <f t="shared" si="1"/>
        <v>245</v>
      </c>
      <c r="AO13">
        <f t="shared" si="1"/>
        <v>214</v>
      </c>
      <c r="AP13">
        <f t="shared" si="1"/>
        <v>184</v>
      </c>
      <c r="AQ13">
        <f t="shared" si="1"/>
        <v>153</v>
      </c>
      <c r="AR13">
        <f t="shared" si="1"/>
        <v>123</v>
      </c>
      <c r="AS13">
        <f t="shared" si="1"/>
        <v>92</v>
      </c>
      <c r="AT13">
        <f t="shared" si="2"/>
        <v>61</v>
      </c>
      <c r="AU13">
        <f t="shared" si="2"/>
        <v>31</v>
      </c>
      <c r="AV13">
        <f t="shared" si="2"/>
        <v>0</v>
      </c>
      <c r="AW13">
        <f t="shared" si="2"/>
        <v>-30</v>
      </c>
      <c r="AX13">
        <f t="shared" si="2"/>
        <v>-61</v>
      </c>
      <c r="AY13">
        <f t="shared" si="3"/>
        <v>0</v>
      </c>
      <c r="AZ13">
        <f t="shared" si="4"/>
        <v>0</v>
      </c>
      <c r="BA13">
        <f t="shared" si="5"/>
        <v>0</v>
      </c>
      <c r="BB13">
        <f t="shared" si="6"/>
        <v>0</v>
      </c>
      <c r="BC13">
        <f t="shared" si="7"/>
        <v>0</v>
      </c>
      <c r="BD13">
        <f t="shared" si="8"/>
        <v>0</v>
      </c>
      <c r="BE13">
        <f t="shared" si="9"/>
        <v>0</v>
      </c>
      <c r="BF13">
        <f t="shared" si="10"/>
        <v>365</v>
      </c>
      <c r="BG13">
        <f t="shared" si="11"/>
        <v>335</v>
      </c>
      <c r="BH13">
        <f t="shared" si="11"/>
        <v>304</v>
      </c>
      <c r="BI13">
        <f t="shared" si="11"/>
        <v>273</v>
      </c>
      <c r="BJ13">
        <f t="shared" si="11"/>
        <v>245</v>
      </c>
      <c r="BK13">
        <f t="shared" si="11"/>
        <v>214</v>
      </c>
      <c r="BL13">
        <f t="shared" si="11"/>
        <v>184</v>
      </c>
      <c r="BM13">
        <f t="shared" si="11"/>
        <v>153</v>
      </c>
      <c r="BN13">
        <f t="shared" si="11"/>
        <v>123</v>
      </c>
      <c r="BO13">
        <f t="shared" si="11"/>
        <v>92</v>
      </c>
      <c r="BP13">
        <f t="shared" si="11"/>
        <v>61</v>
      </c>
      <c r="BQ13">
        <f t="shared" si="11"/>
        <v>31</v>
      </c>
      <c r="BR13">
        <f t="shared" si="11"/>
        <v>0</v>
      </c>
      <c r="BS13">
        <f t="shared" si="11"/>
        <v>0</v>
      </c>
      <c r="BT13">
        <f t="shared" si="11"/>
        <v>0</v>
      </c>
    </row>
    <row r="14" spans="1:72" ht="12.95" customHeight="1" x14ac:dyDescent="0.2">
      <c r="A14">
        <f t="shared" si="12"/>
        <v>2025</v>
      </c>
      <c r="B14">
        <f t="shared" si="13"/>
        <v>12</v>
      </c>
      <c r="C14">
        <f t="shared" si="14"/>
        <v>4</v>
      </c>
      <c r="D14" s="11">
        <f>prod!A11</f>
        <v>45992</v>
      </c>
      <c r="E14" s="11">
        <f t="shared" si="15"/>
        <v>46356</v>
      </c>
      <c r="F14" s="10" t="str">
        <f>prod!B11</f>
        <v>רכב חובה</v>
      </c>
      <c r="G14" s="10" t="str">
        <f>prod!C11</f>
        <v xml:space="preserve">חובה </v>
      </c>
      <c r="H14" s="10">
        <f>prod!D11</f>
        <v>5782596</v>
      </c>
      <c r="I14" s="10">
        <f>SUMIFS(info!C:C,info!$A:$A,data!$A14,info!$B:$B,data!$G14)</f>
        <v>0.05</v>
      </c>
      <c r="J14" s="10">
        <f>SUMIFS(info!D:D,info!$A:$A,data!$A14,info!$B:$B,data!$G14)</f>
        <v>0.13500000000000001</v>
      </c>
      <c r="K14" s="10">
        <f>SUMIFS(info!E:E,info!$A:$A,data!$A14,info!$B:$B,data!$G14)</f>
        <v>0.17219999999999999</v>
      </c>
      <c r="L14" s="10">
        <f>SUMIFS(info!F:F,info!$A:$A,data!$A14,info!$B:$B,data!$G14)</f>
        <v>0.9</v>
      </c>
      <c r="M14" s="10">
        <f>IF(SUMIFS(info!$C$25:$C$27,info!$A$25:$A$27,data!A14,info!$B$25:$B$27,data!F14)&lt;=0,1,SUMIFS(info!$C$25:$C$27,info!$A$25:$A$27,data!A14,info!$B$25:$B$27,data!F14))*H14</f>
        <v>4591381.2240000004</v>
      </c>
      <c r="N14" s="10">
        <f t="shared" si="16"/>
        <v>780650.46000000008</v>
      </c>
      <c r="O14" s="10">
        <f t="shared" si="17"/>
        <v>289129.8</v>
      </c>
      <c r="P14" s="10">
        <f t="shared" si="18"/>
        <v>134428.009212</v>
      </c>
      <c r="Q14" s="10">
        <f t="shared" si="19"/>
        <v>5204336.4000000004</v>
      </c>
      <c r="R14" s="10">
        <f t="shared" si="20"/>
        <v>702585.41400000011</v>
      </c>
      <c r="S14" s="10">
        <f t="shared" si="21"/>
        <v>0</v>
      </c>
      <c r="T14" s="10">
        <f t="shared" si="21"/>
        <v>0</v>
      </c>
      <c r="U14" s="10">
        <f t="shared" si="21"/>
        <v>0</v>
      </c>
      <c r="V14" s="10">
        <f t="shared" si="21"/>
        <v>4201428.2981260279</v>
      </c>
      <c r="W14" s="10">
        <f t="shared" si="21"/>
        <v>3069306.9004273978</v>
      </c>
      <c r="X14" s="10">
        <f t="shared" si="21"/>
        <v>1924606.3760876714</v>
      </c>
      <c r="Y14" s="10">
        <f t="shared" si="21"/>
        <v>767326.72510684945</v>
      </c>
      <c r="Z14" s="10">
        <f t="shared" si="21"/>
        <v>0</v>
      </c>
      <c r="AA14" s="10"/>
      <c r="AB14" s="10"/>
      <c r="AC14">
        <f t="shared" si="22"/>
        <v>0</v>
      </c>
      <c r="AD14">
        <f t="shared" si="1"/>
        <v>0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1"/>
        <v>0</v>
      </c>
      <c r="AI14">
        <f t="shared" si="1"/>
        <v>0</v>
      </c>
      <c r="AJ14">
        <f t="shared" si="1"/>
        <v>0</v>
      </c>
      <c r="AK14">
        <f t="shared" si="1"/>
        <v>365</v>
      </c>
      <c r="AL14">
        <f t="shared" si="1"/>
        <v>334</v>
      </c>
      <c r="AM14">
        <f t="shared" si="1"/>
        <v>303</v>
      </c>
      <c r="AN14">
        <f t="shared" si="1"/>
        <v>275</v>
      </c>
      <c r="AO14">
        <f t="shared" si="1"/>
        <v>244</v>
      </c>
      <c r="AP14">
        <f t="shared" si="1"/>
        <v>214</v>
      </c>
      <c r="AQ14">
        <f t="shared" si="1"/>
        <v>183</v>
      </c>
      <c r="AR14">
        <f t="shared" si="1"/>
        <v>153</v>
      </c>
      <c r="AS14">
        <f t="shared" si="1"/>
        <v>122</v>
      </c>
      <c r="AT14">
        <f t="shared" si="2"/>
        <v>91</v>
      </c>
      <c r="AU14">
        <f t="shared" si="2"/>
        <v>61</v>
      </c>
      <c r="AV14">
        <f t="shared" si="2"/>
        <v>30</v>
      </c>
      <c r="AW14">
        <f t="shared" si="2"/>
        <v>0</v>
      </c>
      <c r="AX14">
        <f t="shared" si="2"/>
        <v>-31</v>
      </c>
      <c r="AY14">
        <f t="shared" si="3"/>
        <v>0</v>
      </c>
      <c r="AZ14">
        <f t="shared" si="4"/>
        <v>0</v>
      </c>
      <c r="BA14">
        <f t="shared" si="5"/>
        <v>0</v>
      </c>
      <c r="BB14">
        <f t="shared" si="6"/>
        <v>0</v>
      </c>
      <c r="BC14">
        <f t="shared" si="7"/>
        <v>0</v>
      </c>
      <c r="BD14">
        <f t="shared" si="8"/>
        <v>0</v>
      </c>
      <c r="BE14">
        <f t="shared" si="9"/>
        <v>0</v>
      </c>
      <c r="BF14">
        <f t="shared" si="10"/>
        <v>0</v>
      </c>
      <c r="BG14">
        <f t="shared" si="11"/>
        <v>365</v>
      </c>
      <c r="BH14">
        <f t="shared" si="11"/>
        <v>334</v>
      </c>
      <c r="BI14">
        <f t="shared" si="11"/>
        <v>303</v>
      </c>
      <c r="BJ14">
        <f t="shared" si="11"/>
        <v>275</v>
      </c>
      <c r="BK14">
        <f t="shared" si="11"/>
        <v>244</v>
      </c>
      <c r="BL14">
        <f t="shared" si="11"/>
        <v>214</v>
      </c>
      <c r="BM14">
        <f t="shared" si="11"/>
        <v>183</v>
      </c>
      <c r="BN14">
        <f t="shared" si="11"/>
        <v>153</v>
      </c>
      <c r="BO14">
        <f t="shared" si="11"/>
        <v>122</v>
      </c>
      <c r="BP14">
        <f t="shared" si="11"/>
        <v>91</v>
      </c>
      <c r="BQ14">
        <f t="shared" si="11"/>
        <v>61</v>
      </c>
      <c r="BR14">
        <f t="shared" si="11"/>
        <v>30</v>
      </c>
      <c r="BS14">
        <f t="shared" si="11"/>
        <v>0</v>
      </c>
      <c r="BT14">
        <f t="shared" si="11"/>
        <v>0</v>
      </c>
    </row>
    <row r="15" spans="1:72" ht="12.95" customHeight="1" x14ac:dyDescent="0.2">
      <c r="A15">
        <f t="shared" si="12"/>
        <v>2026</v>
      </c>
      <c r="B15">
        <f t="shared" si="13"/>
        <v>1</v>
      </c>
      <c r="C15">
        <f t="shared" si="14"/>
        <v>1</v>
      </c>
      <c r="D15" s="11">
        <f>prod!A12</f>
        <v>46023</v>
      </c>
      <c r="E15" s="11">
        <f t="shared" si="15"/>
        <v>46387</v>
      </c>
      <c r="F15" s="10" t="str">
        <f>prod!B12</f>
        <v>רכב חובה</v>
      </c>
      <c r="G15" s="10" t="str">
        <f>prod!C12</f>
        <v xml:space="preserve">חובה </v>
      </c>
      <c r="H15" s="10">
        <f>prod!D12</f>
        <v>5320000</v>
      </c>
      <c r="I15" s="10">
        <f>SUMIFS(info!C:C,info!$A:$A,data!$A15,info!$B:$B,data!$G15)</f>
        <v>0.05</v>
      </c>
      <c r="J15" s="10">
        <f>SUMIFS(info!D:D,info!$A:$A,data!$A15,info!$B:$B,data!$G15)</f>
        <v>0.13500000000000001</v>
      </c>
      <c r="K15" s="10">
        <f>SUMIFS(info!E:E,info!$A:$A,data!$A15,info!$B:$B,data!$G15)</f>
        <v>0.17219999999999999</v>
      </c>
      <c r="L15" s="10">
        <f>SUMIFS(info!F:F,info!$A:$A,data!$A15,info!$B:$B,data!$G15)</f>
        <v>0.9</v>
      </c>
      <c r="M15" s="10">
        <f>IF(SUMIFS(info!$C$25:$C$27,info!$A$25:$A$27,data!A15,info!$B$25:$B$27,data!F15)&lt;=0,1,SUMIFS(info!$C$25:$C$27,info!$A$25:$A$27,data!A15,info!$B$25:$B$27,data!F15))*H15</f>
        <v>4224080</v>
      </c>
      <c r="N15" s="10">
        <f t="shared" si="16"/>
        <v>718200</v>
      </c>
      <c r="O15" s="10">
        <f t="shared" si="17"/>
        <v>266000</v>
      </c>
      <c r="P15" s="10">
        <f t="shared" si="18"/>
        <v>123674.04</v>
      </c>
      <c r="Q15" s="10">
        <f t="shared" si="19"/>
        <v>4788000</v>
      </c>
      <c r="R15" s="10">
        <f t="shared" si="20"/>
        <v>646380</v>
      </c>
      <c r="S15" s="10">
        <f t="shared" si="21"/>
        <v>0</v>
      </c>
      <c r="T15" s="10">
        <f t="shared" si="21"/>
        <v>0</v>
      </c>
      <c r="U15" s="10">
        <f t="shared" si="21"/>
        <v>0</v>
      </c>
      <c r="V15" s="10">
        <f t="shared" si="21"/>
        <v>0</v>
      </c>
      <c r="W15" s="10">
        <f t="shared" si="21"/>
        <v>3182526.0273972601</v>
      </c>
      <c r="X15" s="10">
        <f t="shared" si="21"/>
        <v>2129399.2328767125</v>
      </c>
      <c r="Y15" s="10">
        <f t="shared" si="21"/>
        <v>1064699.6164383562</v>
      </c>
      <c r="Z15" s="10">
        <f t="shared" si="21"/>
        <v>0</v>
      </c>
      <c r="AA15" s="10"/>
      <c r="AB15" s="10"/>
      <c r="AC15">
        <f t="shared" si="22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0</v>
      </c>
      <c r="AK15">
        <f t="shared" si="1"/>
        <v>0</v>
      </c>
      <c r="AL15">
        <f t="shared" si="1"/>
        <v>365</v>
      </c>
      <c r="AM15">
        <f t="shared" si="1"/>
        <v>334</v>
      </c>
      <c r="AN15">
        <f t="shared" si="1"/>
        <v>306</v>
      </c>
      <c r="AO15">
        <f t="shared" si="1"/>
        <v>275</v>
      </c>
      <c r="AP15">
        <f t="shared" si="1"/>
        <v>245</v>
      </c>
      <c r="AQ15">
        <f t="shared" si="1"/>
        <v>214</v>
      </c>
      <c r="AR15">
        <f t="shared" si="1"/>
        <v>184</v>
      </c>
      <c r="AS15">
        <f t="shared" si="1"/>
        <v>153</v>
      </c>
      <c r="AT15">
        <f t="shared" si="2"/>
        <v>122</v>
      </c>
      <c r="AU15">
        <f t="shared" si="2"/>
        <v>92</v>
      </c>
      <c r="AV15">
        <f t="shared" si="2"/>
        <v>61</v>
      </c>
      <c r="AW15">
        <f t="shared" si="2"/>
        <v>31</v>
      </c>
      <c r="AX15">
        <f t="shared" si="2"/>
        <v>0</v>
      </c>
      <c r="AY15">
        <f t="shared" si="3"/>
        <v>0</v>
      </c>
      <c r="AZ15">
        <f t="shared" si="4"/>
        <v>0</v>
      </c>
      <c r="BA15">
        <f t="shared" si="5"/>
        <v>0</v>
      </c>
      <c r="BB15">
        <f t="shared" si="6"/>
        <v>0</v>
      </c>
      <c r="BC15">
        <f t="shared" si="7"/>
        <v>0</v>
      </c>
      <c r="BD15">
        <f t="shared" si="8"/>
        <v>0</v>
      </c>
      <c r="BE15">
        <f t="shared" si="9"/>
        <v>0</v>
      </c>
      <c r="BF15">
        <f t="shared" si="10"/>
        <v>0</v>
      </c>
      <c r="BG15">
        <f t="shared" si="11"/>
        <v>0</v>
      </c>
      <c r="BH15">
        <f t="shared" si="11"/>
        <v>365</v>
      </c>
      <c r="BI15">
        <f t="shared" si="11"/>
        <v>334</v>
      </c>
      <c r="BJ15">
        <f t="shared" si="11"/>
        <v>306</v>
      </c>
      <c r="BK15">
        <f t="shared" si="11"/>
        <v>275</v>
      </c>
      <c r="BL15">
        <f t="shared" si="11"/>
        <v>245</v>
      </c>
      <c r="BM15">
        <f t="shared" si="11"/>
        <v>214</v>
      </c>
      <c r="BN15">
        <f t="shared" si="11"/>
        <v>184</v>
      </c>
      <c r="BO15">
        <f t="shared" si="11"/>
        <v>153</v>
      </c>
      <c r="BP15">
        <f t="shared" si="11"/>
        <v>122</v>
      </c>
      <c r="BQ15">
        <f t="shared" si="11"/>
        <v>92</v>
      </c>
      <c r="BR15">
        <f t="shared" si="11"/>
        <v>61</v>
      </c>
      <c r="BS15">
        <f t="shared" si="11"/>
        <v>31</v>
      </c>
      <c r="BT15">
        <f t="shared" si="11"/>
        <v>0</v>
      </c>
    </row>
    <row r="16" spans="1:72" ht="12.95" customHeight="1" x14ac:dyDescent="0.2">
      <c r="A16">
        <f t="shared" si="12"/>
        <v>2026</v>
      </c>
      <c r="B16">
        <f t="shared" si="13"/>
        <v>2</v>
      </c>
      <c r="C16">
        <f t="shared" si="14"/>
        <v>1</v>
      </c>
      <c r="D16" s="11">
        <f>prod!A13</f>
        <v>46054</v>
      </c>
      <c r="E16" s="11">
        <f t="shared" si="15"/>
        <v>46418</v>
      </c>
      <c r="F16" s="10" t="str">
        <f>prod!B13</f>
        <v>רכב חובה</v>
      </c>
      <c r="G16" s="10" t="str">
        <f>prod!C13</f>
        <v xml:space="preserve">חובה </v>
      </c>
      <c r="H16" s="10">
        <f>prod!D13</f>
        <v>5130000</v>
      </c>
      <c r="I16" s="10">
        <f>SUMIFS(info!C:C,info!$A:$A,data!$A16,info!$B:$B,data!$G16)</f>
        <v>0.05</v>
      </c>
      <c r="J16" s="10">
        <f>SUMIFS(info!D:D,info!$A:$A,data!$A16,info!$B:$B,data!$G16)</f>
        <v>0.13500000000000001</v>
      </c>
      <c r="K16" s="10">
        <f>SUMIFS(info!E:E,info!$A:$A,data!$A16,info!$B:$B,data!$G16)</f>
        <v>0.17219999999999999</v>
      </c>
      <c r="L16" s="10">
        <f>SUMIFS(info!F:F,info!$A:$A,data!$A16,info!$B:$B,data!$G16)</f>
        <v>0.9</v>
      </c>
      <c r="M16" s="10">
        <f>IF(SUMIFS(info!$C$25:$C$27,info!$A$25:$A$27,data!A16,info!$B$25:$B$27,data!F16)&lt;=0,1,SUMIFS(info!$C$25:$C$27,info!$A$25:$A$27,data!A16,info!$B$25:$B$27,data!F16))*H16</f>
        <v>4073220</v>
      </c>
      <c r="N16" s="10">
        <f t="shared" si="16"/>
        <v>692550</v>
      </c>
      <c r="O16" s="10">
        <f t="shared" si="17"/>
        <v>256500</v>
      </c>
      <c r="P16" s="10">
        <f t="shared" si="18"/>
        <v>119257.11</v>
      </c>
      <c r="Q16" s="10">
        <f t="shared" si="19"/>
        <v>4617000</v>
      </c>
      <c r="R16" s="10">
        <f t="shared" si="20"/>
        <v>623295</v>
      </c>
      <c r="S16" s="10">
        <f t="shared" si="21"/>
        <v>0</v>
      </c>
      <c r="T16" s="10">
        <f t="shared" si="21"/>
        <v>0</v>
      </c>
      <c r="U16" s="10">
        <f t="shared" si="21"/>
        <v>0</v>
      </c>
      <c r="V16" s="10">
        <f t="shared" si="21"/>
        <v>0</v>
      </c>
      <c r="W16" s="10">
        <f t="shared" si="21"/>
        <v>3414809.0958904112</v>
      </c>
      <c r="X16" s="10">
        <f t="shared" si="21"/>
        <v>2399293.9726027399</v>
      </c>
      <c r="Y16" s="10">
        <f t="shared" si="21"/>
        <v>1372619.3424657534</v>
      </c>
      <c r="Z16" s="10">
        <f t="shared" si="21"/>
        <v>345944.71232876711</v>
      </c>
      <c r="AA16" s="10"/>
      <c r="AB16" s="10"/>
      <c r="AC16">
        <f t="shared" si="22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0</v>
      </c>
      <c r="AM16">
        <f t="shared" si="1"/>
        <v>365</v>
      </c>
      <c r="AN16">
        <f t="shared" si="1"/>
        <v>337</v>
      </c>
      <c r="AO16">
        <f t="shared" si="1"/>
        <v>306</v>
      </c>
      <c r="AP16">
        <f t="shared" si="1"/>
        <v>276</v>
      </c>
      <c r="AQ16">
        <f t="shared" si="1"/>
        <v>245</v>
      </c>
      <c r="AR16">
        <f t="shared" si="1"/>
        <v>215</v>
      </c>
      <c r="AS16">
        <f t="shared" si="1"/>
        <v>184</v>
      </c>
      <c r="AT16">
        <f t="shared" si="2"/>
        <v>153</v>
      </c>
      <c r="AU16">
        <f t="shared" si="2"/>
        <v>123</v>
      </c>
      <c r="AV16">
        <f t="shared" si="2"/>
        <v>92</v>
      </c>
      <c r="AW16">
        <f t="shared" si="2"/>
        <v>62</v>
      </c>
      <c r="AX16">
        <f t="shared" si="2"/>
        <v>31</v>
      </c>
      <c r="AY16">
        <f t="shared" si="3"/>
        <v>0</v>
      </c>
      <c r="AZ16">
        <f t="shared" si="4"/>
        <v>0</v>
      </c>
      <c r="BA16">
        <f t="shared" si="5"/>
        <v>0</v>
      </c>
      <c r="BB16">
        <f t="shared" si="6"/>
        <v>0</v>
      </c>
      <c r="BC16">
        <f t="shared" si="7"/>
        <v>0</v>
      </c>
      <c r="BD16">
        <f t="shared" si="8"/>
        <v>0</v>
      </c>
      <c r="BE16">
        <f t="shared" si="9"/>
        <v>0</v>
      </c>
      <c r="BF16">
        <f t="shared" si="10"/>
        <v>0</v>
      </c>
      <c r="BG16">
        <f t="shared" si="11"/>
        <v>0</v>
      </c>
      <c r="BH16">
        <f t="shared" si="11"/>
        <v>0</v>
      </c>
      <c r="BI16">
        <f t="shared" si="11"/>
        <v>365</v>
      </c>
      <c r="BJ16">
        <f t="shared" si="11"/>
        <v>337</v>
      </c>
      <c r="BK16">
        <f t="shared" si="11"/>
        <v>306</v>
      </c>
      <c r="BL16">
        <f t="shared" si="11"/>
        <v>276</v>
      </c>
      <c r="BM16">
        <f t="shared" si="11"/>
        <v>245</v>
      </c>
      <c r="BN16">
        <f t="shared" si="11"/>
        <v>215</v>
      </c>
      <c r="BO16">
        <f t="shared" si="11"/>
        <v>184</v>
      </c>
      <c r="BP16">
        <f t="shared" si="11"/>
        <v>153</v>
      </c>
      <c r="BQ16">
        <f t="shared" si="11"/>
        <v>123</v>
      </c>
      <c r="BR16">
        <f t="shared" si="11"/>
        <v>92</v>
      </c>
      <c r="BS16">
        <f t="shared" si="11"/>
        <v>62</v>
      </c>
      <c r="BT16">
        <f t="shared" si="11"/>
        <v>31</v>
      </c>
    </row>
    <row r="17" spans="1:72" ht="12.95" customHeight="1" x14ac:dyDescent="0.2">
      <c r="A17">
        <f t="shared" si="12"/>
        <v>2026</v>
      </c>
      <c r="B17">
        <f t="shared" si="13"/>
        <v>3</v>
      </c>
      <c r="C17">
        <f t="shared" si="14"/>
        <v>1</v>
      </c>
      <c r="D17" s="11">
        <f>prod!A14</f>
        <v>46082</v>
      </c>
      <c r="E17" s="11">
        <f t="shared" si="15"/>
        <v>46446</v>
      </c>
      <c r="F17" s="10" t="str">
        <f>prod!B14</f>
        <v>רכב חובה</v>
      </c>
      <c r="G17" s="10" t="str">
        <f>prod!C14</f>
        <v xml:space="preserve">חובה </v>
      </c>
      <c r="H17" s="10">
        <f>prod!D14</f>
        <v>5354770</v>
      </c>
      <c r="I17" s="10">
        <f>SUMIFS(info!C:C,info!$A:$A,data!$A17,info!$B:$B,data!$G17)</f>
        <v>0.05</v>
      </c>
      <c r="J17" s="10">
        <f>SUMIFS(info!D:D,info!$A:$A,data!$A17,info!$B:$B,data!$G17)</f>
        <v>0.13500000000000001</v>
      </c>
      <c r="K17" s="10">
        <f>SUMIFS(info!E:E,info!$A:$A,data!$A17,info!$B:$B,data!$G17)</f>
        <v>0.17219999999999999</v>
      </c>
      <c r="L17" s="10">
        <f>SUMIFS(info!F:F,info!$A:$A,data!$A17,info!$B:$B,data!$G17)</f>
        <v>0.9</v>
      </c>
      <c r="M17" s="10">
        <f>IF(SUMIFS(info!$C$25:$C$27,info!$A$25:$A$27,data!A17,info!$B$25:$B$27,data!F17)&lt;=0,1,SUMIFS(info!$C$25:$C$27,info!$A$25:$A$27,data!A17,info!$B$25:$B$27,data!F17))*H17</f>
        <v>4251687.38</v>
      </c>
      <c r="N17" s="10">
        <f t="shared" si="16"/>
        <v>722893.95000000007</v>
      </c>
      <c r="O17" s="10">
        <f t="shared" si="17"/>
        <v>267738.5</v>
      </c>
      <c r="P17" s="10">
        <f t="shared" si="18"/>
        <v>124482.33819000001</v>
      </c>
      <c r="Q17" s="10">
        <f t="shared" si="19"/>
        <v>4819293</v>
      </c>
      <c r="R17" s="10">
        <f t="shared" si="20"/>
        <v>650604.55500000005</v>
      </c>
      <c r="S17" s="10">
        <f t="shared" si="21"/>
        <v>0</v>
      </c>
      <c r="T17" s="10">
        <f t="shared" si="21"/>
        <v>0</v>
      </c>
      <c r="U17" s="10">
        <f t="shared" si="21"/>
        <v>0</v>
      </c>
      <c r="V17" s="10">
        <f t="shared" si="21"/>
        <v>0</v>
      </c>
      <c r="W17" s="10">
        <f t="shared" si="21"/>
        <v>3890585.1641643839</v>
      </c>
      <c r="X17" s="10">
        <f t="shared" si="21"/>
        <v>2830575.4338082192</v>
      </c>
      <c r="Y17" s="10">
        <f t="shared" si="21"/>
        <v>1758917.2448767123</v>
      </c>
      <c r="Z17" s="10">
        <f t="shared" si="21"/>
        <v>687259.05594520539</v>
      </c>
      <c r="AA17" s="10"/>
      <c r="AB17" s="10"/>
      <c r="AC17">
        <f t="shared" si="22"/>
        <v>0</v>
      </c>
      <c r="AD17">
        <f t="shared" si="1"/>
        <v>0</v>
      </c>
      <c r="AE17">
        <f t="shared" si="1"/>
        <v>0</v>
      </c>
      <c r="AF17">
        <f t="shared" si="1"/>
        <v>0</v>
      </c>
      <c r="AG17">
        <f t="shared" si="1"/>
        <v>0</v>
      </c>
      <c r="AH17">
        <f t="shared" si="1"/>
        <v>0</v>
      </c>
      <c r="AI17">
        <f t="shared" si="1"/>
        <v>0</v>
      </c>
      <c r="AJ17">
        <f t="shared" si="1"/>
        <v>0</v>
      </c>
      <c r="AK17">
        <f t="shared" si="1"/>
        <v>0</v>
      </c>
      <c r="AL17">
        <f t="shared" si="1"/>
        <v>0</v>
      </c>
      <c r="AM17">
        <f t="shared" si="1"/>
        <v>0</v>
      </c>
      <c r="AN17">
        <f t="shared" si="1"/>
        <v>365</v>
      </c>
      <c r="AO17">
        <f t="shared" si="1"/>
        <v>334</v>
      </c>
      <c r="AP17">
        <f t="shared" si="1"/>
        <v>304</v>
      </c>
      <c r="AQ17">
        <f t="shared" si="1"/>
        <v>273</v>
      </c>
      <c r="AR17">
        <f t="shared" si="1"/>
        <v>243</v>
      </c>
      <c r="AS17">
        <f t="shared" si="1"/>
        <v>212</v>
      </c>
      <c r="AT17">
        <f t="shared" si="2"/>
        <v>181</v>
      </c>
      <c r="AU17">
        <f t="shared" si="2"/>
        <v>151</v>
      </c>
      <c r="AV17">
        <f t="shared" si="2"/>
        <v>120</v>
      </c>
      <c r="AW17">
        <f t="shared" si="2"/>
        <v>90</v>
      </c>
      <c r="AX17">
        <f t="shared" si="2"/>
        <v>59</v>
      </c>
      <c r="AY17">
        <f t="shared" si="3"/>
        <v>0</v>
      </c>
      <c r="AZ17">
        <f t="shared" si="4"/>
        <v>0</v>
      </c>
      <c r="BA17">
        <f t="shared" si="5"/>
        <v>0</v>
      </c>
      <c r="BB17">
        <f t="shared" si="6"/>
        <v>0</v>
      </c>
      <c r="BC17">
        <f t="shared" si="7"/>
        <v>0</v>
      </c>
      <c r="BD17">
        <f t="shared" si="8"/>
        <v>0</v>
      </c>
      <c r="BE17">
        <f t="shared" si="9"/>
        <v>0</v>
      </c>
      <c r="BF17">
        <f t="shared" si="10"/>
        <v>0</v>
      </c>
      <c r="BG17">
        <f t="shared" ref="BG17:BG80" si="23">IF(AK17&lt;0,0,AK17)</f>
        <v>0</v>
      </c>
      <c r="BH17">
        <f t="shared" ref="BH17:BH80" si="24">IF(AL17&lt;0,0,AL17)</f>
        <v>0</v>
      </c>
      <c r="BI17">
        <f t="shared" ref="BI17:BI80" si="25">IF(AM17&lt;0,0,AM17)</f>
        <v>0</v>
      </c>
      <c r="BJ17">
        <f t="shared" ref="BJ17:BJ80" si="26">IF(AN17&lt;0,0,AN17)</f>
        <v>365</v>
      </c>
      <c r="BK17">
        <f t="shared" ref="BK17:BK80" si="27">IF(AO17&lt;0,0,AO17)</f>
        <v>334</v>
      </c>
      <c r="BL17">
        <f t="shared" ref="BL17:BL80" si="28">IF(AP17&lt;0,0,AP17)</f>
        <v>304</v>
      </c>
      <c r="BM17">
        <f t="shared" ref="BM17:BM80" si="29">IF(AQ17&lt;0,0,AQ17)</f>
        <v>273</v>
      </c>
      <c r="BN17">
        <f t="shared" ref="BN17:BN80" si="30">IF(AR17&lt;0,0,AR17)</f>
        <v>243</v>
      </c>
      <c r="BO17">
        <f t="shared" ref="BO17:BO80" si="31">IF(AS17&lt;0,0,AS17)</f>
        <v>212</v>
      </c>
      <c r="BP17">
        <f t="shared" ref="BP17:BP80" si="32">IF(AT17&lt;0,0,AT17)</f>
        <v>181</v>
      </c>
      <c r="BQ17">
        <f t="shared" ref="BQ17:BQ80" si="33">IF(AU17&lt;0,0,AU17)</f>
        <v>151</v>
      </c>
      <c r="BR17">
        <f t="shared" ref="BR17:BR80" si="34">IF(AV17&lt;0,0,AV17)</f>
        <v>120</v>
      </c>
      <c r="BS17">
        <f t="shared" ref="BS17:BS80" si="35">IF(AW17&lt;0,0,AW17)</f>
        <v>90</v>
      </c>
      <c r="BT17">
        <f t="shared" ref="BT17:BT80" si="36">IF(AX17&lt;0,0,AX17)</f>
        <v>59</v>
      </c>
    </row>
    <row r="18" spans="1:72" ht="12.95" customHeight="1" x14ac:dyDescent="0.2">
      <c r="A18">
        <f t="shared" si="12"/>
        <v>2026</v>
      </c>
      <c r="B18">
        <f t="shared" si="13"/>
        <v>4</v>
      </c>
      <c r="C18">
        <f t="shared" si="14"/>
        <v>2</v>
      </c>
      <c r="D18" s="11">
        <f>prod!A15</f>
        <v>46113</v>
      </c>
      <c r="E18" s="11">
        <f t="shared" si="15"/>
        <v>46477</v>
      </c>
      <c r="F18" s="10" t="str">
        <f>prod!B15</f>
        <v>רכב חובה</v>
      </c>
      <c r="G18" s="10" t="str">
        <f>prod!C15</f>
        <v xml:space="preserve">חובה </v>
      </c>
      <c r="H18" s="10">
        <f>prod!D15</f>
        <v>5425260</v>
      </c>
      <c r="I18" s="10">
        <f>SUMIFS(info!C:C,info!$A:$A,data!$A18,info!$B:$B,data!$G18)</f>
        <v>0.05</v>
      </c>
      <c r="J18" s="10">
        <f>SUMIFS(info!D:D,info!$A:$A,data!$A18,info!$B:$B,data!$G18)</f>
        <v>0.13500000000000001</v>
      </c>
      <c r="K18" s="10">
        <f>SUMIFS(info!E:E,info!$A:$A,data!$A18,info!$B:$B,data!$G18)</f>
        <v>0.17219999999999999</v>
      </c>
      <c r="L18" s="10">
        <f>SUMIFS(info!F:F,info!$A:$A,data!$A18,info!$B:$B,data!$G18)</f>
        <v>0.9</v>
      </c>
      <c r="M18" s="10">
        <f>IF(SUMIFS(info!$C$25:$C$27,info!$A$25:$A$27,data!A18,info!$B$25:$B$27,data!F18)&lt;=0,1,SUMIFS(info!$C$25:$C$27,info!$A$25:$A$27,data!A18,info!$B$25:$B$27,data!F18))*H18</f>
        <v>4307656.4400000004</v>
      </c>
      <c r="N18" s="10">
        <f t="shared" si="16"/>
        <v>732410.10000000009</v>
      </c>
      <c r="O18" s="10">
        <f t="shared" si="17"/>
        <v>271263</v>
      </c>
      <c r="P18" s="10">
        <f t="shared" si="18"/>
        <v>126121.01922000002</v>
      </c>
      <c r="Q18" s="10">
        <f t="shared" si="19"/>
        <v>4882734</v>
      </c>
      <c r="R18" s="10">
        <f t="shared" si="20"/>
        <v>659169.09000000008</v>
      </c>
      <c r="S18" s="10">
        <f t="shared" si="21"/>
        <v>0</v>
      </c>
      <c r="T18" s="10">
        <f t="shared" si="21"/>
        <v>0</v>
      </c>
      <c r="U18" s="10">
        <f t="shared" si="21"/>
        <v>0</v>
      </c>
      <c r="V18" s="10">
        <f t="shared" si="21"/>
        <v>0</v>
      </c>
      <c r="W18" s="10">
        <f t="shared" si="21"/>
        <v>0</v>
      </c>
      <c r="X18" s="10">
        <f t="shared" si="21"/>
        <v>3233692.7796164388</v>
      </c>
      <c r="Y18" s="10">
        <f t="shared" si="21"/>
        <v>2147927.3207671233</v>
      </c>
      <c r="Z18" s="10">
        <f t="shared" si="21"/>
        <v>1062161.8619178082</v>
      </c>
      <c r="AA18" s="10"/>
      <c r="AB18" s="10"/>
      <c r="AC18">
        <f t="shared" si="22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  <c r="AH18">
        <f t="shared" si="1"/>
        <v>0</v>
      </c>
      <c r="AI18">
        <f t="shared" si="1"/>
        <v>0</v>
      </c>
      <c r="AJ18">
        <f t="shared" si="1"/>
        <v>0</v>
      </c>
      <c r="AK18">
        <f t="shared" si="1"/>
        <v>0</v>
      </c>
      <c r="AL18">
        <f t="shared" si="1"/>
        <v>0</v>
      </c>
      <c r="AM18">
        <f t="shared" si="1"/>
        <v>0</v>
      </c>
      <c r="AN18">
        <f t="shared" si="1"/>
        <v>0</v>
      </c>
      <c r="AO18">
        <f t="shared" si="1"/>
        <v>365</v>
      </c>
      <c r="AP18">
        <f t="shared" si="1"/>
        <v>335</v>
      </c>
      <c r="AQ18">
        <f t="shared" si="1"/>
        <v>304</v>
      </c>
      <c r="AR18">
        <f t="shared" si="1"/>
        <v>274</v>
      </c>
      <c r="AS18">
        <f t="shared" si="1"/>
        <v>243</v>
      </c>
      <c r="AT18">
        <f t="shared" si="2"/>
        <v>212</v>
      </c>
      <c r="AU18">
        <f t="shared" si="2"/>
        <v>182</v>
      </c>
      <c r="AV18">
        <f t="shared" si="2"/>
        <v>151</v>
      </c>
      <c r="AW18">
        <f t="shared" si="2"/>
        <v>121</v>
      </c>
      <c r="AX18">
        <f t="shared" si="2"/>
        <v>90</v>
      </c>
      <c r="AY18">
        <f t="shared" si="3"/>
        <v>0</v>
      </c>
      <c r="AZ18">
        <f t="shared" si="4"/>
        <v>0</v>
      </c>
      <c r="BA18">
        <f t="shared" si="5"/>
        <v>0</v>
      </c>
      <c r="BB18">
        <f t="shared" si="6"/>
        <v>0</v>
      </c>
      <c r="BC18">
        <f t="shared" si="7"/>
        <v>0</v>
      </c>
      <c r="BD18">
        <f t="shared" si="8"/>
        <v>0</v>
      </c>
      <c r="BE18">
        <f t="shared" si="9"/>
        <v>0</v>
      </c>
      <c r="BF18">
        <f t="shared" si="10"/>
        <v>0</v>
      </c>
      <c r="BG18">
        <f t="shared" si="23"/>
        <v>0</v>
      </c>
      <c r="BH18">
        <f t="shared" si="24"/>
        <v>0</v>
      </c>
      <c r="BI18">
        <f t="shared" si="25"/>
        <v>0</v>
      </c>
      <c r="BJ18">
        <f t="shared" si="26"/>
        <v>0</v>
      </c>
      <c r="BK18">
        <f t="shared" si="27"/>
        <v>365</v>
      </c>
      <c r="BL18">
        <f t="shared" si="28"/>
        <v>335</v>
      </c>
      <c r="BM18">
        <f t="shared" si="29"/>
        <v>304</v>
      </c>
      <c r="BN18">
        <f t="shared" si="30"/>
        <v>274</v>
      </c>
      <c r="BO18">
        <f t="shared" si="31"/>
        <v>243</v>
      </c>
      <c r="BP18">
        <f t="shared" si="32"/>
        <v>212</v>
      </c>
      <c r="BQ18">
        <f t="shared" si="33"/>
        <v>182</v>
      </c>
      <c r="BR18">
        <f t="shared" si="34"/>
        <v>151</v>
      </c>
      <c r="BS18">
        <f t="shared" si="35"/>
        <v>121</v>
      </c>
      <c r="BT18">
        <f t="shared" si="36"/>
        <v>90</v>
      </c>
    </row>
    <row r="19" spans="1:72" ht="12.95" customHeight="1" x14ac:dyDescent="0.2">
      <c r="A19">
        <f t="shared" si="12"/>
        <v>2026</v>
      </c>
      <c r="B19">
        <f t="shared" si="13"/>
        <v>5</v>
      </c>
      <c r="C19">
        <f t="shared" si="14"/>
        <v>2</v>
      </c>
      <c r="D19" s="11">
        <f>prod!A16</f>
        <v>46143</v>
      </c>
      <c r="E19" s="11">
        <f t="shared" si="15"/>
        <v>46507</v>
      </c>
      <c r="F19" s="10" t="str">
        <f>prod!B16</f>
        <v>רכב חובה</v>
      </c>
      <c r="G19" s="10" t="str">
        <f>prod!C16</f>
        <v xml:space="preserve">חובה </v>
      </c>
      <c r="H19" s="10">
        <f>prod!D16</f>
        <v>6064990</v>
      </c>
      <c r="I19" s="10">
        <f>SUMIFS(info!C:C,info!$A:$A,data!$A19,info!$B:$B,data!$G19)</f>
        <v>0.05</v>
      </c>
      <c r="J19" s="10">
        <f>SUMIFS(info!D:D,info!$A:$A,data!$A19,info!$B:$B,data!$G19)</f>
        <v>0.13500000000000001</v>
      </c>
      <c r="K19" s="10">
        <f>SUMIFS(info!E:E,info!$A:$A,data!$A19,info!$B:$B,data!$G19)</f>
        <v>0.17219999999999999</v>
      </c>
      <c r="L19" s="10">
        <f>SUMIFS(info!F:F,info!$A:$A,data!$A19,info!$B:$B,data!$G19)</f>
        <v>0.9</v>
      </c>
      <c r="M19" s="10">
        <f>IF(SUMIFS(info!$C$25:$C$27,info!$A$25:$A$27,data!A19,info!$B$25:$B$27,data!F19)&lt;=0,1,SUMIFS(info!$C$25:$C$27,info!$A$25:$A$27,data!A19,info!$B$25:$B$27,data!F19))*H19</f>
        <v>4815602.0600000005</v>
      </c>
      <c r="N19" s="10">
        <f t="shared" si="16"/>
        <v>818773.65</v>
      </c>
      <c r="O19" s="10">
        <f t="shared" si="17"/>
        <v>303249.5</v>
      </c>
      <c r="P19" s="10">
        <f t="shared" si="18"/>
        <v>140992.82253</v>
      </c>
      <c r="Q19" s="10">
        <f t="shared" si="19"/>
        <v>5458491</v>
      </c>
      <c r="R19" s="10">
        <f t="shared" si="20"/>
        <v>736896.28500000003</v>
      </c>
      <c r="S19" s="10">
        <f t="shared" si="21"/>
        <v>0</v>
      </c>
      <c r="T19" s="10">
        <f t="shared" si="21"/>
        <v>0</v>
      </c>
      <c r="U19" s="10">
        <f t="shared" si="21"/>
        <v>0</v>
      </c>
      <c r="V19" s="10">
        <f t="shared" si="21"/>
        <v>0</v>
      </c>
      <c r="W19" s="10">
        <f t="shared" si="21"/>
        <v>0</v>
      </c>
      <c r="X19" s="10">
        <f t="shared" si="21"/>
        <v>4010802.8116164389</v>
      </c>
      <c r="Y19" s="10">
        <f t="shared" si="21"/>
        <v>2797007.2238904112</v>
      </c>
      <c r="Z19" s="10">
        <f t="shared" si="21"/>
        <v>1583211.6361643837</v>
      </c>
      <c r="AA19" s="10"/>
      <c r="AB19" s="10"/>
      <c r="AC19">
        <f t="shared" si="22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0</v>
      </c>
      <c r="AI19">
        <f t="shared" si="1"/>
        <v>0</v>
      </c>
      <c r="AJ19">
        <f t="shared" si="1"/>
        <v>0</v>
      </c>
      <c r="AK19">
        <f t="shared" si="1"/>
        <v>0</v>
      </c>
      <c r="AL19">
        <f t="shared" si="1"/>
        <v>0</v>
      </c>
      <c r="AM19">
        <f t="shared" si="1"/>
        <v>0</v>
      </c>
      <c r="AN19">
        <f t="shared" si="1"/>
        <v>0</v>
      </c>
      <c r="AO19">
        <f t="shared" si="1"/>
        <v>0</v>
      </c>
      <c r="AP19">
        <f t="shared" si="1"/>
        <v>365</v>
      </c>
      <c r="AQ19">
        <f t="shared" si="1"/>
        <v>334</v>
      </c>
      <c r="AR19">
        <f t="shared" si="1"/>
        <v>304</v>
      </c>
      <c r="AS19">
        <f t="shared" si="1"/>
        <v>273</v>
      </c>
      <c r="AT19">
        <f t="shared" si="2"/>
        <v>242</v>
      </c>
      <c r="AU19">
        <f t="shared" si="2"/>
        <v>212</v>
      </c>
      <c r="AV19">
        <f t="shared" si="2"/>
        <v>181</v>
      </c>
      <c r="AW19">
        <f t="shared" si="2"/>
        <v>151</v>
      </c>
      <c r="AX19">
        <f t="shared" si="2"/>
        <v>120</v>
      </c>
      <c r="AY19">
        <f t="shared" si="3"/>
        <v>0</v>
      </c>
      <c r="AZ19">
        <f t="shared" si="4"/>
        <v>0</v>
      </c>
      <c r="BA19">
        <f t="shared" si="5"/>
        <v>0</v>
      </c>
      <c r="BB19">
        <f t="shared" si="6"/>
        <v>0</v>
      </c>
      <c r="BC19">
        <f t="shared" si="7"/>
        <v>0</v>
      </c>
      <c r="BD19">
        <f t="shared" si="8"/>
        <v>0</v>
      </c>
      <c r="BE19">
        <f t="shared" si="9"/>
        <v>0</v>
      </c>
      <c r="BF19">
        <f t="shared" si="10"/>
        <v>0</v>
      </c>
      <c r="BG19">
        <f t="shared" si="23"/>
        <v>0</v>
      </c>
      <c r="BH19">
        <f t="shared" si="24"/>
        <v>0</v>
      </c>
      <c r="BI19">
        <f t="shared" si="25"/>
        <v>0</v>
      </c>
      <c r="BJ19">
        <f t="shared" si="26"/>
        <v>0</v>
      </c>
      <c r="BK19">
        <f t="shared" si="27"/>
        <v>0</v>
      </c>
      <c r="BL19">
        <f t="shared" si="28"/>
        <v>365</v>
      </c>
      <c r="BM19">
        <f t="shared" si="29"/>
        <v>334</v>
      </c>
      <c r="BN19">
        <f t="shared" si="30"/>
        <v>304</v>
      </c>
      <c r="BO19">
        <f t="shared" si="31"/>
        <v>273</v>
      </c>
      <c r="BP19">
        <f t="shared" si="32"/>
        <v>242</v>
      </c>
      <c r="BQ19">
        <f t="shared" si="33"/>
        <v>212</v>
      </c>
      <c r="BR19">
        <f t="shared" si="34"/>
        <v>181</v>
      </c>
      <c r="BS19">
        <f t="shared" si="35"/>
        <v>151</v>
      </c>
      <c r="BT19">
        <f t="shared" si="36"/>
        <v>120</v>
      </c>
    </row>
    <row r="20" spans="1:72" ht="12.95" customHeight="1" x14ac:dyDescent="0.2">
      <c r="A20">
        <f t="shared" si="12"/>
        <v>2026</v>
      </c>
      <c r="B20">
        <f t="shared" si="13"/>
        <v>6</v>
      </c>
      <c r="C20">
        <f t="shared" si="14"/>
        <v>2</v>
      </c>
      <c r="D20" s="11">
        <f>prod!A17</f>
        <v>46174</v>
      </c>
      <c r="E20" s="11">
        <f t="shared" si="15"/>
        <v>46538</v>
      </c>
      <c r="F20" s="10" t="str">
        <f>prod!B17</f>
        <v>רכב חובה</v>
      </c>
      <c r="G20" s="10" t="str">
        <f>prod!C17</f>
        <v xml:space="preserve">חובה </v>
      </c>
      <c r="H20" s="10">
        <f>prod!D17</f>
        <v>6397490</v>
      </c>
      <c r="I20" s="10">
        <f>SUMIFS(info!C:C,info!$A:$A,data!$A20,info!$B:$B,data!$G20)</f>
        <v>0.05</v>
      </c>
      <c r="J20" s="10">
        <f>SUMIFS(info!D:D,info!$A:$A,data!$A20,info!$B:$B,data!$G20)</f>
        <v>0.13500000000000001</v>
      </c>
      <c r="K20" s="10">
        <f>SUMIFS(info!E:E,info!$A:$A,data!$A20,info!$B:$B,data!$G20)</f>
        <v>0.17219999999999999</v>
      </c>
      <c r="L20" s="10">
        <f>SUMIFS(info!F:F,info!$A:$A,data!$A20,info!$B:$B,data!$G20)</f>
        <v>0.9</v>
      </c>
      <c r="M20" s="10">
        <f>IF(SUMIFS(info!$C$25:$C$27,info!$A$25:$A$27,data!A20,info!$B$25:$B$27,data!F20)&lt;=0,1,SUMIFS(info!$C$25:$C$27,info!$A$25:$A$27,data!A20,info!$B$25:$B$27,data!F20))*H20</f>
        <v>5079607.0600000005</v>
      </c>
      <c r="N20" s="10">
        <f t="shared" si="16"/>
        <v>863661.15</v>
      </c>
      <c r="O20" s="10">
        <f t="shared" si="17"/>
        <v>319874.5</v>
      </c>
      <c r="P20" s="10">
        <f t="shared" si="18"/>
        <v>148722.45003000001</v>
      </c>
      <c r="Q20" s="10">
        <f t="shared" si="19"/>
        <v>5757741</v>
      </c>
      <c r="R20" s="10">
        <f t="shared" si="20"/>
        <v>777295.03500000003</v>
      </c>
      <c r="S20" s="10">
        <f t="shared" si="21"/>
        <v>0</v>
      </c>
      <c r="T20" s="10">
        <f t="shared" si="21"/>
        <v>0</v>
      </c>
      <c r="U20" s="10">
        <f t="shared" si="21"/>
        <v>0</v>
      </c>
      <c r="V20" s="10">
        <f t="shared" si="21"/>
        <v>0</v>
      </c>
      <c r="W20" s="10">
        <f t="shared" si="21"/>
        <v>0</v>
      </c>
      <c r="X20" s="10">
        <f t="shared" si="21"/>
        <v>4662105.109863014</v>
      </c>
      <c r="Y20" s="10">
        <f t="shared" si="21"/>
        <v>3381765.7961095893</v>
      </c>
      <c r="Z20" s="10">
        <f t="shared" si="21"/>
        <v>2101426.4823561646</v>
      </c>
      <c r="AA20" s="10"/>
      <c r="AB20" s="10"/>
      <c r="AC20">
        <f t="shared" si="22"/>
        <v>0</v>
      </c>
      <c r="AD20">
        <f t="shared" si="1"/>
        <v>0</v>
      </c>
      <c r="AE20">
        <f t="shared" si="1"/>
        <v>0</v>
      </c>
      <c r="AF20">
        <f t="shared" si="1"/>
        <v>0</v>
      </c>
      <c r="AG20">
        <f t="shared" si="1"/>
        <v>0</v>
      </c>
      <c r="AH20">
        <f t="shared" si="1"/>
        <v>0</v>
      </c>
      <c r="AI20">
        <f t="shared" si="1"/>
        <v>0</v>
      </c>
      <c r="AJ20">
        <f t="shared" si="1"/>
        <v>0</v>
      </c>
      <c r="AK20">
        <f t="shared" si="1"/>
        <v>0</v>
      </c>
      <c r="AL20">
        <f t="shared" si="1"/>
        <v>0</v>
      </c>
      <c r="AM20">
        <f t="shared" si="1"/>
        <v>0</v>
      </c>
      <c r="AN20">
        <f t="shared" si="1"/>
        <v>0</v>
      </c>
      <c r="AO20">
        <f t="shared" si="1"/>
        <v>0</v>
      </c>
      <c r="AP20">
        <f t="shared" si="1"/>
        <v>0</v>
      </c>
      <c r="AQ20">
        <f t="shared" si="1"/>
        <v>365</v>
      </c>
      <c r="AR20">
        <f t="shared" si="1"/>
        <v>335</v>
      </c>
      <c r="AS20">
        <f t="shared" ref="AS20:AX35" si="37">IF(($E20-AS$4)&gt;365,0,($E20-AS$4))</f>
        <v>304</v>
      </c>
      <c r="AT20">
        <f t="shared" si="2"/>
        <v>273</v>
      </c>
      <c r="AU20">
        <f t="shared" si="2"/>
        <v>243</v>
      </c>
      <c r="AV20">
        <f t="shared" si="2"/>
        <v>212</v>
      </c>
      <c r="AW20">
        <f t="shared" si="2"/>
        <v>182</v>
      </c>
      <c r="AX20">
        <f t="shared" si="2"/>
        <v>151</v>
      </c>
      <c r="AY20">
        <f t="shared" si="3"/>
        <v>0</v>
      </c>
      <c r="AZ20">
        <f t="shared" si="4"/>
        <v>0</v>
      </c>
      <c r="BA20">
        <f t="shared" si="5"/>
        <v>0</v>
      </c>
      <c r="BB20">
        <f t="shared" si="6"/>
        <v>0</v>
      </c>
      <c r="BC20">
        <f t="shared" si="7"/>
        <v>0</v>
      </c>
      <c r="BD20">
        <f t="shared" si="8"/>
        <v>0</v>
      </c>
      <c r="BE20">
        <f t="shared" si="9"/>
        <v>0</v>
      </c>
      <c r="BF20">
        <f t="shared" si="10"/>
        <v>0</v>
      </c>
      <c r="BG20">
        <f t="shared" si="23"/>
        <v>0</v>
      </c>
      <c r="BH20">
        <f t="shared" si="24"/>
        <v>0</v>
      </c>
      <c r="BI20">
        <f t="shared" si="25"/>
        <v>0</v>
      </c>
      <c r="BJ20">
        <f t="shared" si="26"/>
        <v>0</v>
      </c>
      <c r="BK20">
        <f t="shared" si="27"/>
        <v>0</v>
      </c>
      <c r="BL20">
        <f t="shared" si="28"/>
        <v>0</v>
      </c>
      <c r="BM20">
        <f t="shared" si="29"/>
        <v>365</v>
      </c>
      <c r="BN20">
        <f t="shared" si="30"/>
        <v>335</v>
      </c>
      <c r="BO20">
        <f t="shared" si="31"/>
        <v>304</v>
      </c>
      <c r="BP20">
        <f t="shared" si="32"/>
        <v>273</v>
      </c>
      <c r="BQ20">
        <f t="shared" si="33"/>
        <v>243</v>
      </c>
      <c r="BR20">
        <f t="shared" si="34"/>
        <v>212</v>
      </c>
      <c r="BS20">
        <f t="shared" si="35"/>
        <v>182</v>
      </c>
      <c r="BT20">
        <f t="shared" si="36"/>
        <v>151</v>
      </c>
    </row>
    <row r="21" spans="1:72" ht="12.95" customHeight="1" x14ac:dyDescent="0.2">
      <c r="A21">
        <f t="shared" si="12"/>
        <v>2026</v>
      </c>
      <c r="B21">
        <f t="shared" si="13"/>
        <v>7</v>
      </c>
      <c r="C21">
        <f t="shared" si="14"/>
        <v>3</v>
      </c>
      <c r="D21" s="11">
        <f>prod!A18</f>
        <v>46204</v>
      </c>
      <c r="E21" s="11">
        <f t="shared" si="15"/>
        <v>46568</v>
      </c>
      <c r="F21" s="10" t="str">
        <f>prod!B18</f>
        <v>רכב חובה</v>
      </c>
      <c r="G21" s="10" t="str">
        <f>prod!C18</f>
        <v xml:space="preserve">חובה </v>
      </c>
      <c r="H21" s="10">
        <f>prod!D18</f>
        <v>7435460</v>
      </c>
      <c r="I21" s="10">
        <f>SUMIFS(info!C:C,info!$A:$A,data!$A21,info!$B:$B,data!$G21)</f>
        <v>0.05</v>
      </c>
      <c r="J21" s="10">
        <f>SUMIFS(info!D:D,info!$A:$A,data!$A21,info!$B:$B,data!$G21)</f>
        <v>0.13500000000000001</v>
      </c>
      <c r="K21" s="10">
        <f>SUMIFS(info!E:E,info!$A:$A,data!$A21,info!$B:$B,data!$G21)</f>
        <v>0.17219999999999999</v>
      </c>
      <c r="L21" s="10">
        <f>SUMIFS(info!F:F,info!$A:$A,data!$A21,info!$B:$B,data!$G21)</f>
        <v>0.9</v>
      </c>
      <c r="M21" s="10">
        <f>IF(SUMIFS(info!$C$25:$C$27,info!$A$25:$A$27,data!A21,info!$B$25:$B$27,data!F21)&lt;=0,1,SUMIFS(info!$C$25:$C$27,info!$A$25:$A$27,data!A21,info!$B$25:$B$27,data!F21))*H21</f>
        <v>5903755.2400000002</v>
      </c>
      <c r="N21" s="10">
        <f t="shared" si="16"/>
        <v>1003787.1000000001</v>
      </c>
      <c r="O21" s="10">
        <f t="shared" si="17"/>
        <v>371773</v>
      </c>
      <c r="P21" s="10">
        <f t="shared" si="18"/>
        <v>172852.13862000001</v>
      </c>
      <c r="Q21" s="10">
        <f t="shared" si="19"/>
        <v>6691914</v>
      </c>
      <c r="R21" s="10">
        <f t="shared" si="20"/>
        <v>903408.39</v>
      </c>
      <c r="S21" s="10">
        <f t="shared" si="21"/>
        <v>0</v>
      </c>
      <c r="T21" s="10">
        <f t="shared" si="21"/>
        <v>0</v>
      </c>
      <c r="U21" s="10">
        <f t="shared" si="21"/>
        <v>0</v>
      </c>
      <c r="V21" s="10">
        <f t="shared" si="21"/>
        <v>0</v>
      </c>
      <c r="W21" s="10">
        <f t="shared" si="21"/>
        <v>0</v>
      </c>
      <c r="X21" s="10">
        <f t="shared" si="21"/>
        <v>0</v>
      </c>
      <c r="Y21" s="10">
        <f t="shared" si="21"/>
        <v>4415685.426082192</v>
      </c>
      <c r="Z21" s="10">
        <f t="shared" si="21"/>
        <v>2927615.6121643838</v>
      </c>
      <c r="AA21" s="10"/>
      <c r="AB21" s="10"/>
      <c r="AC21">
        <f t="shared" si="22"/>
        <v>0</v>
      </c>
      <c r="AD21">
        <f t="shared" si="22"/>
        <v>0</v>
      </c>
      <c r="AE21">
        <f t="shared" si="22"/>
        <v>0</v>
      </c>
      <c r="AF21">
        <f t="shared" si="22"/>
        <v>0</v>
      </c>
      <c r="AG21">
        <f t="shared" si="22"/>
        <v>0</v>
      </c>
      <c r="AH21">
        <f t="shared" si="22"/>
        <v>0</v>
      </c>
      <c r="AI21">
        <f t="shared" si="22"/>
        <v>0</v>
      </c>
      <c r="AJ21">
        <f t="shared" si="22"/>
        <v>0</v>
      </c>
      <c r="AK21">
        <f t="shared" si="22"/>
        <v>0</v>
      </c>
      <c r="AL21">
        <f t="shared" si="22"/>
        <v>0</v>
      </c>
      <c r="AM21">
        <f t="shared" si="22"/>
        <v>0</v>
      </c>
      <c r="AN21">
        <f t="shared" si="22"/>
        <v>0</v>
      </c>
      <c r="AO21">
        <f t="shared" si="22"/>
        <v>0</v>
      </c>
      <c r="AP21">
        <f t="shared" si="22"/>
        <v>0</v>
      </c>
      <c r="AQ21">
        <f t="shared" si="22"/>
        <v>0</v>
      </c>
      <c r="AR21">
        <f t="shared" si="22"/>
        <v>365</v>
      </c>
      <c r="AS21">
        <f t="shared" si="37"/>
        <v>334</v>
      </c>
      <c r="AT21">
        <f t="shared" si="37"/>
        <v>303</v>
      </c>
      <c r="AU21">
        <f t="shared" si="37"/>
        <v>273</v>
      </c>
      <c r="AV21">
        <f t="shared" si="37"/>
        <v>242</v>
      </c>
      <c r="AW21">
        <f t="shared" si="37"/>
        <v>212</v>
      </c>
      <c r="AX21">
        <f t="shared" si="37"/>
        <v>181</v>
      </c>
      <c r="AY21">
        <f t="shared" si="3"/>
        <v>0</v>
      </c>
      <c r="AZ21">
        <f t="shared" si="4"/>
        <v>0</v>
      </c>
      <c r="BA21">
        <f t="shared" si="5"/>
        <v>0</v>
      </c>
      <c r="BB21">
        <f t="shared" si="6"/>
        <v>0</v>
      </c>
      <c r="BC21">
        <f t="shared" si="7"/>
        <v>0</v>
      </c>
      <c r="BD21">
        <f t="shared" si="8"/>
        <v>0</v>
      </c>
      <c r="BE21">
        <f t="shared" si="9"/>
        <v>0</v>
      </c>
      <c r="BF21">
        <f t="shared" si="10"/>
        <v>0</v>
      </c>
      <c r="BG21">
        <f t="shared" si="23"/>
        <v>0</v>
      </c>
      <c r="BH21">
        <f t="shared" si="24"/>
        <v>0</v>
      </c>
      <c r="BI21">
        <f t="shared" si="25"/>
        <v>0</v>
      </c>
      <c r="BJ21">
        <f t="shared" si="26"/>
        <v>0</v>
      </c>
      <c r="BK21">
        <f t="shared" si="27"/>
        <v>0</v>
      </c>
      <c r="BL21">
        <f t="shared" si="28"/>
        <v>0</v>
      </c>
      <c r="BM21">
        <f t="shared" si="29"/>
        <v>0</v>
      </c>
      <c r="BN21">
        <f t="shared" si="30"/>
        <v>365</v>
      </c>
      <c r="BO21">
        <f t="shared" si="31"/>
        <v>334</v>
      </c>
      <c r="BP21">
        <f t="shared" si="32"/>
        <v>303</v>
      </c>
      <c r="BQ21">
        <f t="shared" si="33"/>
        <v>273</v>
      </c>
      <c r="BR21">
        <f t="shared" si="34"/>
        <v>242</v>
      </c>
      <c r="BS21">
        <f t="shared" si="35"/>
        <v>212</v>
      </c>
      <c r="BT21">
        <f t="shared" si="36"/>
        <v>181</v>
      </c>
    </row>
    <row r="22" spans="1:72" ht="12.95" customHeight="1" x14ac:dyDescent="0.2">
      <c r="A22">
        <f t="shared" si="12"/>
        <v>2026</v>
      </c>
      <c r="B22">
        <f t="shared" si="13"/>
        <v>8</v>
      </c>
      <c r="C22">
        <f t="shared" si="14"/>
        <v>3</v>
      </c>
      <c r="D22" s="11">
        <f>prod!A19</f>
        <v>46235</v>
      </c>
      <c r="E22" s="11">
        <f t="shared" si="15"/>
        <v>46599</v>
      </c>
      <c r="F22" s="10" t="str">
        <f>prod!B19</f>
        <v>רכב חובה</v>
      </c>
      <c r="G22" s="10" t="str">
        <f>prod!C19</f>
        <v xml:space="preserve">חובה </v>
      </c>
      <c r="H22" s="10">
        <f>prod!D19</f>
        <v>8222440</v>
      </c>
      <c r="I22" s="10">
        <f>SUMIFS(info!C:C,info!$A:$A,data!$A22,info!$B:$B,data!$G22)</f>
        <v>0.05</v>
      </c>
      <c r="J22" s="10">
        <f>SUMIFS(info!D:D,info!$A:$A,data!$A22,info!$B:$B,data!$G22)</f>
        <v>0.13500000000000001</v>
      </c>
      <c r="K22" s="10">
        <f>SUMIFS(info!E:E,info!$A:$A,data!$A22,info!$B:$B,data!$G22)</f>
        <v>0.17219999999999999</v>
      </c>
      <c r="L22" s="10">
        <f>SUMIFS(info!F:F,info!$A:$A,data!$A22,info!$B:$B,data!$G22)</f>
        <v>0.9</v>
      </c>
      <c r="M22" s="10">
        <f>IF(SUMIFS(info!$C$25:$C$27,info!$A$25:$A$27,data!A22,info!$B$25:$B$27,data!F22)&lt;=0,1,SUMIFS(info!$C$25:$C$27,info!$A$25:$A$27,data!A22,info!$B$25:$B$27,data!F22))*H22</f>
        <v>6528617.3600000003</v>
      </c>
      <c r="N22" s="10">
        <f t="shared" si="16"/>
        <v>1110029.4000000001</v>
      </c>
      <c r="O22" s="10">
        <f t="shared" si="17"/>
        <v>411122</v>
      </c>
      <c r="P22" s="10">
        <f t="shared" si="18"/>
        <v>191147.06268</v>
      </c>
      <c r="Q22" s="10">
        <f t="shared" si="19"/>
        <v>7400196</v>
      </c>
      <c r="R22" s="10">
        <f t="shared" si="20"/>
        <v>999026.46000000008</v>
      </c>
      <c r="S22" s="10">
        <f t="shared" si="21"/>
        <v>0</v>
      </c>
      <c r="T22" s="10">
        <f t="shared" si="21"/>
        <v>0</v>
      </c>
      <c r="U22" s="10">
        <f t="shared" si="21"/>
        <v>0</v>
      </c>
      <c r="V22" s="10">
        <f t="shared" si="21"/>
        <v>0</v>
      </c>
      <c r="W22" s="10">
        <f t="shared" si="21"/>
        <v>0</v>
      </c>
      <c r="X22" s="10">
        <f t="shared" si="21"/>
        <v>0</v>
      </c>
      <c r="Y22" s="10">
        <f t="shared" si="21"/>
        <v>5437533.3628493156</v>
      </c>
      <c r="Z22" s="10">
        <f t="shared" si="21"/>
        <v>3791964.0556712332</v>
      </c>
      <c r="AA22" s="10"/>
      <c r="AB22" s="10"/>
      <c r="AC22">
        <f t="shared" ref="AC22:AR37" si="38">IF(($E22-AC$4)&gt;365,0,($E22-AC$4))</f>
        <v>0</v>
      </c>
      <c r="AD22">
        <f t="shared" si="38"/>
        <v>0</v>
      </c>
      <c r="AE22">
        <f t="shared" si="38"/>
        <v>0</v>
      </c>
      <c r="AF22">
        <f t="shared" si="38"/>
        <v>0</v>
      </c>
      <c r="AG22">
        <f t="shared" si="38"/>
        <v>0</v>
      </c>
      <c r="AH22">
        <f t="shared" si="38"/>
        <v>0</v>
      </c>
      <c r="AI22">
        <f t="shared" si="38"/>
        <v>0</v>
      </c>
      <c r="AJ22">
        <f t="shared" si="38"/>
        <v>0</v>
      </c>
      <c r="AK22">
        <f t="shared" si="38"/>
        <v>0</v>
      </c>
      <c r="AL22">
        <f t="shared" si="38"/>
        <v>0</v>
      </c>
      <c r="AM22">
        <f t="shared" si="38"/>
        <v>0</v>
      </c>
      <c r="AN22">
        <f t="shared" si="38"/>
        <v>0</v>
      </c>
      <c r="AO22">
        <f t="shared" si="38"/>
        <v>0</v>
      </c>
      <c r="AP22">
        <f t="shared" si="38"/>
        <v>0</v>
      </c>
      <c r="AQ22">
        <f t="shared" si="38"/>
        <v>0</v>
      </c>
      <c r="AR22">
        <f t="shared" si="38"/>
        <v>0</v>
      </c>
      <c r="AS22">
        <f t="shared" si="37"/>
        <v>365</v>
      </c>
      <c r="AT22">
        <f t="shared" si="37"/>
        <v>334</v>
      </c>
      <c r="AU22">
        <f t="shared" si="37"/>
        <v>304</v>
      </c>
      <c r="AV22">
        <f t="shared" si="37"/>
        <v>273</v>
      </c>
      <c r="AW22">
        <f t="shared" si="37"/>
        <v>243</v>
      </c>
      <c r="AX22">
        <f t="shared" si="37"/>
        <v>212</v>
      </c>
      <c r="AY22">
        <f t="shared" si="3"/>
        <v>0</v>
      </c>
      <c r="AZ22">
        <f t="shared" si="4"/>
        <v>0</v>
      </c>
      <c r="BA22">
        <f t="shared" si="5"/>
        <v>0</v>
      </c>
      <c r="BB22">
        <f t="shared" si="6"/>
        <v>0</v>
      </c>
      <c r="BC22">
        <f t="shared" si="7"/>
        <v>0</v>
      </c>
      <c r="BD22">
        <f t="shared" si="8"/>
        <v>0</v>
      </c>
      <c r="BE22">
        <f t="shared" si="9"/>
        <v>0</v>
      </c>
      <c r="BF22">
        <f t="shared" si="10"/>
        <v>0</v>
      </c>
      <c r="BG22">
        <f t="shared" si="23"/>
        <v>0</v>
      </c>
      <c r="BH22">
        <f t="shared" si="24"/>
        <v>0</v>
      </c>
      <c r="BI22">
        <f t="shared" si="25"/>
        <v>0</v>
      </c>
      <c r="BJ22">
        <f t="shared" si="26"/>
        <v>0</v>
      </c>
      <c r="BK22">
        <f t="shared" si="27"/>
        <v>0</v>
      </c>
      <c r="BL22">
        <f t="shared" si="28"/>
        <v>0</v>
      </c>
      <c r="BM22">
        <f t="shared" si="29"/>
        <v>0</v>
      </c>
      <c r="BN22">
        <f t="shared" si="30"/>
        <v>0</v>
      </c>
      <c r="BO22">
        <f t="shared" si="31"/>
        <v>365</v>
      </c>
      <c r="BP22">
        <f t="shared" si="32"/>
        <v>334</v>
      </c>
      <c r="BQ22">
        <f t="shared" si="33"/>
        <v>304</v>
      </c>
      <c r="BR22">
        <f t="shared" si="34"/>
        <v>273</v>
      </c>
      <c r="BS22">
        <f t="shared" si="35"/>
        <v>243</v>
      </c>
      <c r="BT22">
        <f t="shared" si="36"/>
        <v>212</v>
      </c>
    </row>
    <row r="23" spans="1:72" ht="12.95" customHeight="1" x14ac:dyDescent="0.2">
      <c r="A23">
        <f t="shared" si="12"/>
        <v>2026</v>
      </c>
      <c r="B23">
        <f t="shared" si="13"/>
        <v>9</v>
      </c>
      <c r="C23">
        <f t="shared" si="14"/>
        <v>3</v>
      </c>
      <c r="D23" s="11">
        <f>prod!A20</f>
        <v>46266</v>
      </c>
      <c r="E23" s="11">
        <f t="shared" si="15"/>
        <v>46630</v>
      </c>
      <c r="F23" s="10" t="str">
        <f>prod!B20</f>
        <v>רכב חובה</v>
      </c>
      <c r="G23" s="10" t="str">
        <f>prod!C20</f>
        <v xml:space="preserve">חובה </v>
      </c>
      <c r="H23" s="10">
        <f>prod!D20</f>
        <v>9609060</v>
      </c>
      <c r="I23" s="10">
        <f>SUMIFS(info!C:C,info!$A:$A,data!$A23,info!$B:$B,data!$G23)</f>
        <v>0.05</v>
      </c>
      <c r="J23" s="10">
        <f>SUMIFS(info!D:D,info!$A:$A,data!$A23,info!$B:$B,data!$G23)</f>
        <v>0.13500000000000001</v>
      </c>
      <c r="K23" s="10">
        <f>SUMIFS(info!E:E,info!$A:$A,data!$A23,info!$B:$B,data!$G23)</f>
        <v>0.17219999999999999</v>
      </c>
      <c r="L23" s="10">
        <f>SUMIFS(info!F:F,info!$A:$A,data!$A23,info!$B:$B,data!$G23)</f>
        <v>0.9</v>
      </c>
      <c r="M23" s="10">
        <f>IF(SUMIFS(info!$C$25:$C$27,info!$A$25:$A$27,data!A23,info!$B$25:$B$27,data!F23)&lt;=0,1,SUMIFS(info!$C$25:$C$27,info!$A$25:$A$27,data!A23,info!$B$25:$B$27,data!F23))*H23</f>
        <v>7629593.6400000006</v>
      </c>
      <c r="N23" s="10">
        <f t="shared" si="16"/>
        <v>1297223.1000000001</v>
      </c>
      <c r="O23" s="10">
        <f t="shared" si="17"/>
        <v>480453</v>
      </c>
      <c r="P23" s="10">
        <f t="shared" si="18"/>
        <v>223381.81782</v>
      </c>
      <c r="Q23" s="10">
        <f t="shared" si="19"/>
        <v>8648154</v>
      </c>
      <c r="R23" s="10">
        <f t="shared" si="20"/>
        <v>1167500.79</v>
      </c>
      <c r="S23" s="10">
        <f t="shared" si="21"/>
        <v>0</v>
      </c>
      <c r="T23" s="10">
        <f t="shared" si="21"/>
        <v>0</v>
      </c>
      <c r="U23" s="10">
        <f t="shared" si="21"/>
        <v>0</v>
      </c>
      <c r="V23" s="10">
        <f t="shared" si="21"/>
        <v>0</v>
      </c>
      <c r="W23" s="10">
        <f t="shared" si="21"/>
        <v>0</v>
      </c>
      <c r="X23" s="10">
        <f t="shared" si="21"/>
        <v>0</v>
      </c>
      <c r="Y23" s="10">
        <f t="shared" si="21"/>
        <v>7002503.7517808219</v>
      </c>
      <c r="Z23" s="10">
        <f t="shared" si="21"/>
        <v>5079428.0945753427</v>
      </c>
      <c r="AA23" s="10"/>
      <c r="AB23" s="10"/>
      <c r="AC23">
        <f t="shared" si="38"/>
        <v>0</v>
      </c>
      <c r="AD23">
        <f t="shared" si="38"/>
        <v>0</v>
      </c>
      <c r="AE23">
        <f t="shared" si="38"/>
        <v>0</v>
      </c>
      <c r="AF23">
        <f t="shared" si="38"/>
        <v>0</v>
      </c>
      <c r="AG23">
        <f t="shared" si="38"/>
        <v>0</v>
      </c>
      <c r="AH23">
        <f t="shared" si="38"/>
        <v>0</v>
      </c>
      <c r="AI23">
        <f t="shared" si="38"/>
        <v>0</v>
      </c>
      <c r="AJ23">
        <f t="shared" si="38"/>
        <v>0</v>
      </c>
      <c r="AK23">
        <f t="shared" si="38"/>
        <v>0</v>
      </c>
      <c r="AL23">
        <f t="shared" si="38"/>
        <v>0</v>
      </c>
      <c r="AM23">
        <f t="shared" si="38"/>
        <v>0</v>
      </c>
      <c r="AN23">
        <f t="shared" si="38"/>
        <v>0</v>
      </c>
      <c r="AO23">
        <f t="shared" si="38"/>
        <v>0</v>
      </c>
      <c r="AP23">
        <f t="shared" si="38"/>
        <v>0</v>
      </c>
      <c r="AQ23">
        <f t="shared" si="38"/>
        <v>0</v>
      </c>
      <c r="AR23">
        <f t="shared" si="38"/>
        <v>0</v>
      </c>
      <c r="AS23">
        <f t="shared" si="37"/>
        <v>0</v>
      </c>
      <c r="AT23">
        <f t="shared" si="37"/>
        <v>365</v>
      </c>
      <c r="AU23">
        <f t="shared" si="37"/>
        <v>335</v>
      </c>
      <c r="AV23">
        <f t="shared" si="37"/>
        <v>304</v>
      </c>
      <c r="AW23">
        <f t="shared" si="37"/>
        <v>274</v>
      </c>
      <c r="AX23">
        <f t="shared" si="37"/>
        <v>243</v>
      </c>
      <c r="AY23">
        <f t="shared" si="3"/>
        <v>0</v>
      </c>
      <c r="AZ23">
        <f t="shared" si="4"/>
        <v>0</v>
      </c>
      <c r="BA23">
        <f t="shared" si="5"/>
        <v>0</v>
      </c>
      <c r="BB23">
        <f t="shared" si="6"/>
        <v>0</v>
      </c>
      <c r="BC23">
        <f t="shared" si="7"/>
        <v>0</v>
      </c>
      <c r="BD23">
        <f t="shared" si="8"/>
        <v>0</v>
      </c>
      <c r="BE23">
        <f t="shared" si="9"/>
        <v>0</v>
      </c>
      <c r="BF23">
        <f t="shared" si="10"/>
        <v>0</v>
      </c>
      <c r="BG23">
        <f t="shared" si="23"/>
        <v>0</v>
      </c>
      <c r="BH23">
        <f t="shared" si="24"/>
        <v>0</v>
      </c>
      <c r="BI23">
        <f t="shared" si="25"/>
        <v>0</v>
      </c>
      <c r="BJ23">
        <f t="shared" si="26"/>
        <v>0</v>
      </c>
      <c r="BK23">
        <f t="shared" si="27"/>
        <v>0</v>
      </c>
      <c r="BL23">
        <f t="shared" si="28"/>
        <v>0</v>
      </c>
      <c r="BM23">
        <f t="shared" si="29"/>
        <v>0</v>
      </c>
      <c r="BN23">
        <f t="shared" si="30"/>
        <v>0</v>
      </c>
      <c r="BO23">
        <f t="shared" si="31"/>
        <v>0</v>
      </c>
      <c r="BP23">
        <f t="shared" si="32"/>
        <v>365</v>
      </c>
      <c r="BQ23">
        <f t="shared" si="33"/>
        <v>335</v>
      </c>
      <c r="BR23">
        <f t="shared" si="34"/>
        <v>304</v>
      </c>
      <c r="BS23">
        <f t="shared" si="35"/>
        <v>274</v>
      </c>
      <c r="BT23">
        <f t="shared" si="36"/>
        <v>243</v>
      </c>
    </row>
    <row r="24" spans="1:72" ht="12.95" customHeight="1" x14ac:dyDescent="0.2">
      <c r="A24">
        <f t="shared" si="12"/>
        <v>2026</v>
      </c>
      <c r="B24">
        <f t="shared" si="13"/>
        <v>10</v>
      </c>
      <c r="C24">
        <f t="shared" si="14"/>
        <v>4</v>
      </c>
      <c r="D24" s="11">
        <f>prod!A21</f>
        <v>46296</v>
      </c>
      <c r="E24" s="11">
        <f t="shared" si="15"/>
        <v>46660</v>
      </c>
      <c r="F24" s="10" t="str">
        <f>prod!B21</f>
        <v>רכב חובה</v>
      </c>
      <c r="G24" s="10" t="str">
        <f>prod!C21</f>
        <v xml:space="preserve">חובה </v>
      </c>
      <c r="H24" s="10">
        <f>prod!D21</f>
        <v>9130260</v>
      </c>
      <c r="I24" s="10">
        <f>SUMIFS(info!C:C,info!$A:$A,data!$A24,info!$B:$B,data!$G24)</f>
        <v>0.05</v>
      </c>
      <c r="J24" s="10">
        <f>SUMIFS(info!D:D,info!$A:$A,data!$A24,info!$B:$B,data!$G24)</f>
        <v>0.13500000000000001</v>
      </c>
      <c r="K24" s="10">
        <f>SUMIFS(info!E:E,info!$A:$A,data!$A24,info!$B:$B,data!$G24)</f>
        <v>0.17219999999999999</v>
      </c>
      <c r="L24" s="10">
        <f>SUMIFS(info!F:F,info!$A:$A,data!$A24,info!$B:$B,data!$G24)</f>
        <v>0.9</v>
      </c>
      <c r="M24" s="10">
        <f>IF(SUMIFS(info!$C$25:$C$27,info!$A$25:$A$27,data!A24,info!$B$25:$B$27,data!F24)&lt;=0,1,SUMIFS(info!$C$25:$C$27,info!$A$25:$A$27,data!A24,info!$B$25:$B$27,data!F24))*H24</f>
        <v>7249426.4400000004</v>
      </c>
      <c r="N24" s="10">
        <f t="shared" si="16"/>
        <v>1232585.1000000001</v>
      </c>
      <c r="O24" s="10">
        <f t="shared" si="17"/>
        <v>456513</v>
      </c>
      <c r="P24" s="10">
        <f t="shared" si="18"/>
        <v>212251.15422</v>
      </c>
      <c r="Q24" s="10">
        <f t="shared" si="19"/>
        <v>8217234</v>
      </c>
      <c r="R24" s="10">
        <f t="shared" si="20"/>
        <v>1109326.5900000001</v>
      </c>
      <c r="S24" s="10">
        <f t="shared" si="21"/>
        <v>0</v>
      </c>
      <c r="T24" s="10">
        <f t="shared" si="21"/>
        <v>0</v>
      </c>
      <c r="U24" s="10">
        <f t="shared" si="21"/>
        <v>0</v>
      </c>
      <c r="V24" s="10">
        <f t="shared" si="21"/>
        <v>0</v>
      </c>
      <c r="W24" s="10">
        <f t="shared" si="21"/>
        <v>0</v>
      </c>
      <c r="X24" s="10">
        <f t="shared" si="21"/>
        <v>0</v>
      </c>
      <c r="Y24" s="10">
        <f t="shared" si="21"/>
        <v>0</v>
      </c>
      <c r="Z24" s="10">
        <f t="shared" si="21"/>
        <v>5422173.7482739734</v>
      </c>
      <c r="AA24" s="10"/>
      <c r="AB24" s="10"/>
      <c r="AC24">
        <f t="shared" si="38"/>
        <v>0</v>
      </c>
      <c r="AD24">
        <f t="shared" si="38"/>
        <v>0</v>
      </c>
      <c r="AE24">
        <f t="shared" si="38"/>
        <v>0</v>
      </c>
      <c r="AF24">
        <f t="shared" si="38"/>
        <v>0</v>
      </c>
      <c r="AG24">
        <f t="shared" si="38"/>
        <v>0</v>
      </c>
      <c r="AH24">
        <f t="shared" si="38"/>
        <v>0</v>
      </c>
      <c r="AI24">
        <f t="shared" si="38"/>
        <v>0</v>
      </c>
      <c r="AJ24">
        <f t="shared" si="38"/>
        <v>0</v>
      </c>
      <c r="AK24">
        <f t="shared" si="38"/>
        <v>0</v>
      </c>
      <c r="AL24">
        <f t="shared" si="38"/>
        <v>0</v>
      </c>
      <c r="AM24">
        <f t="shared" si="38"/>
        <v>0</v>
      </c>
      <c r="AN24">
        <f t="shared" si="38"/>
        <v>0</v>
      </c>
      <c r="AO24">
        <f t="shared" si="38"/>
        <v>0</v>
      </c>
      <c r="AP24">
        <f t="shared" si="38"/>
        <v>0</v>
      </c>
      <c r="AQ24">
        <f t="shared" si="38"/>
        <v>0</v>
      </c>
      <c r="AR24">
        <f t="shared" si="38"/>
        <v>0</v>
      </c>
      <c r="AS24">
        <f t="shared" si="37"/>
        <v>0</v>
      </c>
      <c r="AT24">
        <f t="shared" si="37"/>
        <v>0</v>
      </c>
      <c r="AU24">
        <f t="shared" si="37"/>
        <v>365</v>
      </c>
      <c r="AV24">
        <f t="shared" si="37"/>
        <v>334</v>
      </c>
      <c r="AW24">
        <f t="shared" si="37"/>
        <v>304</v>
      </c>
      <c r="AX24">
        <f t="shared" si="37"/>
        <v>273</v>
      </c>
      <c r="AY24">
        <f t="shared" si="3"/>
        <v>0</v>
      </c>
      <c r="AZ24">
        <f t="shared" si="4"/>
        <v>0</v>
      </c>
      <c r="BA24">
        <f t="shared" si="5"/>
        <v>0</v>
      </c>
      <c r="BB24">
        <f t="shared" si="6"/>
        <v>0</v>
      </c>
      <c r="BC24">
        <f t="shared" si="7"/>
        <v>0</v>
      </c>
      <c r="BD24">
        <f t="shared" si="8"/>
        <v>0</v>
      </c>
      <c r="BE24">
        <f t="shared" si="9"/>
        <v>0</v>
      </c>
      <c r="BF24">
        <f t="shared" si="10"/>
        <v>0</v>
      </c>
      <c r="BG24">
        <f t="shared" si="23"/>
        <v>0</v>
      </c>
      <c r="BH24">
        <f t="shared" si="24"/>
        <v>0</v>
      </c>
      <c r="BI24">
        <f t="shared" si="25"/>
        <v>0</v>
      </c>
      <c r="BJ24">
        <f t="shared" si="26"/>
        <v>0</v>
      </c>
      <c r="BK24">
        <f t="shared" si="27"/>
        <v>0</v>
      </c>
      <c r="BL24">
        <f t="shared" si="28"/>
        <v>0</v>
      </c>
      <c r="BM24">
        <f t="shared" si="29"/>
        <v>0</v>
      </c>
      <c r="BN24">
        <f t="shared" si="30"/>
        <v>0</v>
      </c>
      <c r="BO24">
        <f t="shared" si="31"/>
        <v>0</v>
      </c>
      <c r="BP24">
        <f t="shared" si="32"/>
        <v>0</v>
      </c>
      <c r="BQ24">
        <f t="shared" si="33"/>
        <v>365</v>
      </c>
      <c r="BR24">
        <f t="shared" si="34"/>
        <v>334</v>
      </c>
      <c r="BS24">
        <f t="shared" si="35"/>
        <v>304</v>
      </c>
      <c r="BT24">
        <f t="shared" si="36"/>
        <v>273</v>
      </c>
    </row>
    <row r="25" spans="1:72" ht="12.95" customHeight="1" x14ac:dyDescent="0.2">
      <c r="A25">
        <f t="shared" si="12"/>
        <v>2026</v>
      </c>
      <c r="B25">
        <f t="shared" si="13"/>
        <v>11</v>
      </c>
      <c r="C25">
        <f t="shared" si="14"/>
        <v>4</v>
      </c>
      <c r="D25" s="11">
        <f>prod!A22</f>
        <v>46327</v>
      </c>
      <c r="E25" s="11">
        <f t="shared" si="15"/>
        <v>46691</v>
      </c>
      <c r="F25" s="10" t="str">
        <f>prod!B22</f>
        <v>רכב חובה</v>
      </c>
      <c r="G25" s="10" t="str">
        <f>prod!C22</f>
        <v xml:space="preserve">חובה </v>
      </c>
      <c r="H25" s="10">
        <f>prod!D22</f>
        <v>9620840</v>
      </c>
      <c r="I25" s="10">
        <f>SUMIFS(info!C:C,info!$A:$A,data!$A25,info!$B:$B,data!$G25)</f>
        <v>0.05</v>
      </c>
      <c r="J25" s="10">
        <f>SUMIFS(info!D:D,info!$A:$A,data!$A25,info!$B:$B,data!$G25)</f>
        <v>0.13500000000000001</v>
      </c>
      <c r="K25" s="10">
        <f>SUMIFS(info!E:E,info!$A:$A,data!$A25,info!$B:$B,data!$G25)</f>
        <v>0.17219999999999999</v>
      </c>
      <c r="L25" s="10">
        <f>SUMIFS(info!F:F,info!$A:$A,data!$A25,info!$B:$B,data!$G25)</f>
        <v>0.9</v>
      </c>
      <c r="M25" s="10">
        <f>IF(SUMIFS(info!$C$25:$C$27,info!$A$25:$A$27,data!A25,info!$B$25:$B$27,data!F25)&lt;=0,1,SUMIFS(info!$C$25:$C$27,info!$A$25:$A$27,data!A25,info!$B$25:$B$27,data!F25))*H25</f>
        <v>7638946.96</v>
      </c>
      <c r="N25" s="10">
        <f t="shared" si="16"/>
        <v>1298813.4000000001</v>
      </c>
      <c r="O25" s="10">
        <f t="shared" si="17"/>
        <v>481042</v>
      </c>
      <c r="P25" s="10">
        <f t="shared" si="18"/>
        <v>223655.66748</v>
      </c>
      <c r="Q25" s="10">
        <f t="shared" si="19"/>
        <v>8658756</v>
      </c>
      <c r="R25" s="10">
        <f t="shared" si="20"/>
        <v>1168932.06</v>
      </c>
      <c r="S25" s="10">
        <f t="shared" si="21"/>
        <v>0</v>
      </c>
      <c r="T25" s="10">
        <f t="shared" si="21"/>
        <v>0</v>
      </c>
      <c r="U25" s="10">
        <f t="shared" si="21"/>
        <v>0</v>
      </c>
      <c r="V25" s="10">
        <f t="shared" si="21"/>
        <v>0</v>
      </c>
      <c r="W25" s="10">
        <f t="shared" si="21"/>
        <v>0</v>
      </c>
      <c r="X25" s="10">
        <f t="shared" si="21"/>
        <v>0</v>
      </c>
      <c r="Y25" s="10">
        <f t="shared" si="21"/>
        <v>0</v>
      </c>
      <c r="Z25" s="10">
        <f t="shared" si="21"/>
        <v>6362301.0296986308</v>
      </c>
      <c r="AA25" s="10"/>
      <c r="AB25" s="10"/>
      <c r="AC25">
        <f t="shared" si="38"/>
        <v>0</v>
      </c>
      <c r="AD25">
        <f t="shared" si="38"/>
        <v>0</v>
      </c>
      <c r="AE25">
        <f t="shared" si="38"/>
        <v>0</v>
      </c>
      <c r="AF25">
        <f t="shared" si="38"/>
        <v>0</v>
      </c>
      <c r="AG25">
        <f t="shared" si="38"/>
        <v>0</v>
      </c>
      <c r="AH25">
        <f t="shared" si="38"/>
        <v>0</v>
      </c>
      <c r="AI25">
        <f t="shared" si="38"/>
        <v>0</v>
      </c>
      <c r="AJ25">
        <f t="shared" si="38"/>
        <v>0</v>
      </c>
      <c r="AK25">
        <f t="shared" si="38"/>
        <v>0</v>
      </c>
      <c r="AL25">
        <f t="shared" si="38"/>
        <v>0</v>
      </c>
      <c r="AM25">
        <f t="shared" si="38"/>
        <v>0</v>
      </c>
      <c r="AN25">
        <f t="shared" si="38"/>
        <v>0</v>
      </c>
      <c r="AO25">
        <f t="shared" si="38"/>
        <v>0</v>
      </c>
      <c r="AP25">
        <f t="shared" si="38"/>
        <v>0</v>
      </c>
      <c r="AQ25">
        <f t="shared" si="38"/>
        <v>0</v>
      </c>
      <c r="AR25">
        <f t="shared" si="38"/>
        <v>0</v>
      </c>
      <c r="AS25">
        <f t="shared" si="37"/>
        <v>0</v>
      </c>
      <c r="AT25">
        <f t="shared" si="37"/>
        <v>0</v>
      </c>
      <c r="AU25">
        <f t="shared" si="37"/>
        <v>0</v>
      </c>
      <c r="AV25">
        <f t="shared" si="37"/>
        <v>365</v>
      </c>
      <c r="AW25">
        <f t="shared" si="37"/>
        <v>335</v>
      </c>
      <c r="AX25">
        <f t="shared" si="37"/>
        <v>304</v>
      </c>
      <c r="AY25">
        <f t="shared" si="3"/>
        <v>0</v>
      </c>
      <c r="AZ25">
        <f t="shared" si="4"/>
        <v>0</v>
      </c>
      <c r="BA25">
        <f t="shared" si="5"/>
        <v>0</v>
      </c>
      <c r="BB25">
        <f t="shared" si="6"/>
        <v>0</v>
      </c>
      <c r="BC25">
        <f t="shared" si="7"/>
        <v>0</v>
      </c>
      <c r="BD25">
        <f t="shared" si="8"/>
        <v>0</v>
      </c>
      <c r="BE25">
        <f t="shared" si="9"/>
        <v>0</v>
      </c>
      <c r="BF25">
        <f t="shared" si="10"/>
        <v>0</v>
      </c>
      <c r="BG25">
        <f t="shared" si="23"/>
        <v>0</v>
      </c>
      <c r="BH25">
        <f t="shared" si="24"/>
        <v>0</v>
      </c>
      <c r="BI25">
        <f t="shared" si="25"/>
        <v>0</v>
      </c>
      <c r="BJ25">
        <f t="shared" si="26"/>
        <v>0</v>
      </c>
      <c r="BK25">
        <f t="shared" si="27"/>
        <v>0</v>
      </c>
      <c r="BL25">
        <f t="shared" si="28"/>
        <v>0</v>
      </c>
      <c r="BM25">
        <f t="shared" si="29"/>
        <v>0</v>
      </c>
      <c r="BN25">
        <f t="shared" si="30"/>
        <v>0</v>
      </c>
      <c r="BO25">
        <f t="shared" si="31"/>
        <v>0</v>
      </c>
      <c r="BP25">
        <f t="shared" si="32"/>
        <v>0</v>
      </c>
      <c r="BQ25">
        <f t="shared" si="33"/>
        <v>0</v>
      </c>
      <c r="BR25">
        <f t="shared" si="34"/>
        <v>365</v>
      </c>
      <c r="BS25">
        <f t="shared" si="35"/>
        <v>335</v>
      </c>
      <c r="BT25">
        <f t="shared" si="36"/>
        <v>304</v>
      </c>
    </row>
    <row r="26" spans="1:72" ht="12.95" customHeight="1" x14ac:dyDescent="0.2">
      <c r="A26">
        <f t="shared" si="12"/>
        <v>2026</v>
      </c>
      <c r="B26">
        <f t="shared" si="13"/>
        <v>12</v>
      </c>
      <c r="C26">
        <f t="shared" si="14"/>
        <v>4</v>
      </c>
      <c r="D26" s="11">
        <f>prod!A23</f>
        <v>46357</v>
      </c>
      <c r="E26" s="11">
        <f t="shared" si="15"/>
        <v>46721</v>
      </c>
      <c r="F26" s="10" t="str">
        <f>prod!B23</f>
        <v>רכב חובה</v>
      </c>
      <c r="G26" s="10" t="str">
        <f>prod!C23</f>
        <v xml:space="preserve">חובה </v>
      </c>
      <c r="H26" s="10">
        <f>prod!D23</f>
        <v>12290720</v>
      </c>
      <c r="I26" s="10">
        <f>SUMIFS(info!C:C,info!$A:$A,data!$A26,info!$B:$B,data!$G26)</f>
        <v>0.05</v>
      </c>
      <c r="J26" s="10">
        <f>SUMIFS(info!D:D,info!$A:$A,data!$A26,info!$B:$B,data!$G26)</f>
        <v>0.13500000000000001</v>
      </c>
      <c r="K26" s="10">
        <f>SUMIFS(info!E:E,info!$A:$A,data!$A26,info!$B:$B,data!$G26)</f>
        <v>0.17219999999999999</v>
      </c>
      <c r="L26" s="10">
        <f>SUMIFS(info!F:F,info!$A:$A,data!$A26,info!$B:$B,data!$G26)</f>
        <v>0.9</v>
      </c>
      <c r="M26" s="10">
        <f>IF(SUMIFS(info!$C$25:$C$27,info!$A$25:$A$27,data!A26,info!$B$25:$B$27,data!F26)&lt;=0,1,SUMIFS(info!$C$25:$C$27,info!$A$25:$A$27,data!A26,info!$B$25:$B$27,data!F26))*H26</f>
        <v>9758831.6799999997</v>
      </c>
      <c r="N26" s="10">
        <f t="shared" si="16"/>
        <v>1659247.2000000002</v>
      </c>
      <c r="O26" s="10">
        <f t="shared" si="17"/>
        <v>614536</v>
      </c>
      <c r="P26" s="10">
        <f t="shared" si="18"/>
        <v>285722.36784000002</v>
      </c>
      <c r="Q26" s="10">
        <f t="shared" si="19"/>
        <v>11061648</v>
      </c>
      <c r="R26" s="10">
        <f t="shared" si="20"/>
        <v>1493322.4800000002</v>
      </c>
      <c r="S26" s="10">
        <f t="shared" si="21"/>
        <v>0</v>
      </c>
      <c r="T26" s="10">
        <f t="shared" si="21"/>
        <v>0</v>
      </c>
      <c r="U26" s="10">
        <f t="shared" si="21"/>
        <v>0</v>
      </c>
      <c r="V26" s="10">
        <f t="shared" si="21"/>
        <v>0</v>
      </c>
      <c r="W26" s="10">
        <f t="shared" si="21"/>
        <v>0</v>
      </c>
      <c r="X26" s="10">
        <f t="shared" si="21"/>
        <v>0</v>
      </c>
      <c r="Y26" s="10">
        <f t="shared" si="21"/>
        <v>0</v>
      </c>
      <c r="Z26" s="10">
        <f t="shared" si="21"/>
        <v>8929999.4003287666</v>
      </c>
      <c r="AA26" s="10"/>
      <c r="AB26" s="10"/>
      <c r="AC26">
        <f t="shared" si="38"/>
        <v>0</v>
      </c>
      <c r="AD26">
        <f t="shared" si="38"/>
        <v>0</v>
      </c>
      <c r="AE26">
        <f t="shared" si="38"/>
        <v>0</v>
      </c>
      <c r="AF26">
        <f t="shared" si="38"/>
        <v>0</v>
      </c>
      <c r="AG26">
        <f t="shared" si="38"/>
        <v>0</v>
      </c>
      <c r="AH26">
        <f t="shared" si="38"/>
        <v>0</v>
      </c>
      <c r="AI26">
        <f t="shared" si="38"/>
        <v>0</v>
      </c>
      <c r="AJ26">
        <f t="shared" si="38"/>
        <v>0</v>
      </c>
      <c r="AK26">
        <f t="shared" si="38"/>
        <v>0</v>
      </c>
      <c r="AL26">
        <f t="shared" si="38"/>
        <v>0</v>
      </c>
      <c r="AM26">
        <f t="shared" si="38"/>
        <v>0</v>
      </c>
      <c r="AN26">
        <f t="shared" si="38"/>
        <v>0</v>
      </c>
      <c r="AO26">
        <f t="shared" si="38"/>
        <v>0</v>
      </c>
      <c r="AP26">
        <f t="shared" si="38"/>
        <v>0</v>
      </c>
      <c r="AQ26">
        <f t="shared" si="38"/>
        <v>0</v>
      </c>
      <c r="AR26">
        <f t="shared" si="38"/>
        <v>0</v>
      </c>
      <c r="AS26">
        <f t="shared" si="37"/>
        <v>0</v>
      </c>
      <c r="AT26">
        <f t="shared" si="37"/>
        <v>0</v>
      </c>
      <c r="AU26">
        <f t="shared" si="37"/>
        <v>0</v>
      </c>
      <c r="AV26">
        <f t="shared" si="37"/>
        <v>0</v>
      </c>
      <c r="AW26">
        <f t="shared" si="37"/>
        <v>365</v>
      </c>
      <c r="AX26">
        <f t="shared" si="37"/>
        <v>334</v>
      </c>
      <c r="AY26">
        <f t="shared" si="3"/>
        <v>0</v>
      </c>
      <c r="AZ26">
        <f t="shared" si="4"/>
        <v>0</v>
      </c>
      <c r="BA26">
        <f t="shared" si="5"/>
        <v>0</v>
      </c>
      <c r="BB26">
        <f t="shared" si="6"/>
        <v>0</v>
      </c>
      <c r="BC26">
        <f t="shared" si="7"/>
        <v>0</v>
      </c>
      <c r="BD26">
        <f t="shared" si="8"/>
        <v>0</v>
      </c>
      <c r="BE26">
        <f t="shared" si="9"/>
        <v>0</v>
      </c>
      <c r="BF26">
        <f t="shared" si="10"/>
        <v>0</v>
      </c>
      <c r="BG26">
        <f t="shared" si="23"/>
        <v>0</v>
      </c>
      <c r="BH26">
        <f t="shared" si="24"/>
        <v>0</v>
      </c>
      <c r="BI26">
        <f t="shared" si="25"/>
        <v>0</v>
      </c>
      <c r="BJ26">
        <f t="shared" si="26"/>
        <v>0</v>
      </c>
      <c r="BK26">
        <f t="shared" si="27"/>
        <v>0</v>
      </c>
      <c r="BL26">
        <f t="shared" si="28"/>
        <v>0</v>
      </c>
      <c r="BM26">
        <f t="shared" si="29"/>
        <v>0</v>
      </c>
      <c r="BN26">
        <f t="shared" si="30"/>
        <v>0</v>
      </c>
      <c r="BO26">
        <f t="shared" si="31"/>
        <v>0</v>
      </c>
      <c r="BP26">
        <f t="shared" si="32"/>
        <v>0</v>
      </c>
      <c r="BQ26">
        <f t="shared" si="33"/>
        <v>0</v>
      </c>
      <c r="BR26">
        <f t="shared" si="34"/>
        <v>0</v>
      </c>
      <c r="BS26">
        <f t="shared" si="35"/>
        <v>365</v>
      </c>
      <c r="BT26">
        <f t="shared" si="36"/>
        <v>334</v>
      </c>
    </row>
    <row r="27" spans="1:72" ht="12.95" customHeight="1" x14ac:dyDescent="0.2">
      <c r="A27">
        <f t="shared" si="12"/>
        <v>2025</v>
      </c>
      <c r="B27">
        <f t="shared" si="13"/>
        <v>3</v>
      </c>
      <c r="C27">
        <f t="shared" si="14"/>
        <v>1</v>
      </c>
      <c r="D27" s="11">
        <f>prod!A24</f>
        <v>45717</v>
      </c>
      <c r="E27" s="11">
        <f t="shared" si="15"/>
        <v>46081</v>
      </c>
      <c r="F27" s="10" t="str">
        <f>prod!B24</f>
        <v>רכב רכוש</v>
      </c>
      <c r="G27" s="10" t="str">
        <f>prod!C24</f>
        <v xml:space="preserve">קסקו מקיף </v>
      </c>
      <c r="H27" s="10">
        <f>prod!D24</f>
        <v>107008</v>
      </c>
      <c r="I27" s="10">
        <f>SUMIFS(info!C:C,info!$A:$A,data!$A27,info!$B:$B,data!$G27)</f>
        <v>0.14000000000000001</v>
      </c>
      <c r="J27" s="10">
        <f>SUMIFS(info!D:D,info!$A:$A,data!$A27,info!$B:$B,data!$G27)</f>
        <v>0.8</v>
      </c>
      <c r="K27" s="10">
        <f>SUMIFS(info!E:E,info!$A:$A,data!$A27,info!$B:$B,data!$G27)</f>
        <v>0.2</v>
      </c>
      <c r="L27" s="10">
        <f>SUMIFS(info!F:F,info!$A:$A,data!$A27,info!$B:$B,data!$G27)</f>
        <v>0.7</v>
      </c>
      <c r="M27" s="10">
        <f>IF(SUMIFS(info!$C$25:$C$27,info!$A$25:$A$27,data!A27,info!$B$25:$B$27,data!F27)&lt;=0,1,SUMIFS(info!$C$25:$C$27,info!$A$25:$A$27,data!A27,info!$B$25:$B$27,data!F27))*H27</f>
        <v>107008</v>
      </c>
      <c r="N27" s="10">
        <f t="shared" si="16"/>
        <v>85606.400000000009</v>
      </c>
      <c r="O27" s="10">
        <f t="shared" si="17"/>
        <v>14981.12</v>
      </c>
      <c r="P27" s="10">
        <f t="shared" si="18"/>
        <v>17121.280000000002</v>
      </c>
      <c r="Q27" s="10">
        <f t="shared" si="19"/>
        <v>74905.599999999991</v>
      </c>
      <c r="R27" s="10">
        <f t="shared" si="20"/>
        <v>59924.479999999996</v>
      </c>
      <c r="S27" s="10">
        <f t="shared" si="21"/>
        <v>97919.649315068498</v>
      </c>
      <c r="T27" s="10">
        <f t="shared" si="21"/>
        <v>71240.942465753425</v>
      </c>
      <c r="U27" s="10">
        <f t="shared" si="21"/>
        <v>44269.063013698629</v>
      </c>
      <c r="V27" s="10">
        <f t="shared" si="21"/>
        <v>17297.183561643837</v>
      </c>
      <c r="W27" s="10">
        <f t="shared" si="21"/>
        <v>0</v>
      </c>
      <c r="X27" s="10">
        <f t="shared" si="21"/>
        <v>0</v>
      </c>
      <c r="Y27" s="10">
        <f t="shared" si="21"/>
        <v>0</v>
      </c>
      <c r="Z27" s="10">
        <f t="shared" si="21"/>
        <v>0</v>
      </c>
      <c r="AA27" s="10"/>
      <c r="AB27" s="10"/>
      <c r="AC27">
        <f t="shared" si="38"/>
        <v>334</v>
      </c>
      <c r="AD27">
        <f t="shared" si="38"/>
        <v>304</v>
      </c>
      <c r="AE27">
        <f t="shared" si="38"/>
        <v>273</v>
      </c>
      <c r="AF27">
        <f t="shared" si="38"/>
        <v>243</v>
      </c>
      <c r="AG27">
        <f t="shared" si="38"/>
        <v>212</v>
      </c>
      <c r="AH27">
        <f t="shared" si="38"/>
        <v>181</v>
      </c>
      <c r="AI27">
        <f t="shared" si="38"/>
        <v>151</v>
      </c>
      <c r="AJ27">
        <f t="shared" si="38"/>
        <v>120</v>
      </c>
      <c r="AK27">
        <f t="shared" si="38"/>
        <v>90</v>
      </c>
      <c r="AL27">
        <f t="shared" si="38"/>
        <v>59</v>
      </c>
      <c r="AM27">
        <f t="shared" si="38"/>
        <v>28</v>
      </c>
      <c r="AN27">
        <f t="shared" si="38"/>
        <v>0</v>
      </c>
      <c r="AO27">
        <f t="shared" si="38"/>
        <v>-31</v>
      </c>
      <c r="AP27">
        <f t="shared" si="38"/>
        <v>-61</v>
      </c>
      <c r="AQ27">
        <f t="shared" si="38"/>
        <v>-92</v>
      </c>
      <c r="AR27">
        <f t="shared" si="38"/>
        <v>-122</v>
      </c>
      <c r="AS27">
        <f t="shared" si="37"/>
        <v>-153</v>
      </c>
      <c r="AT27">
        <f t="shared" si="37"/>
        <v>-184</v>
      </c>
      <c r="AU27">
        <f t="shared" si="37"/>
        <v>-214</v>
      </c>
      <c r="AV27">
        <f t="shared" si="37"/>
        <v>-245</v>
      </c>
      <c r="AW27">
        <f t="shared" si="37"/>
        <v>-275</v>
      </c>
      <c r="AX27">
        <f t="shared" si="37"/>
        <v>-306</v>
      </c>
      <c r="AY27">
        <f t="shared" si="3"/>
        <v>334</v>
      </c>
      <c r="AZ27">
        <f t="shared" si="4"/>
        <v>304</v>
      </c>
      <c r="BA27">
        <f t="shared" si="5"/>
        <v>273</v>
      </c>
      <c r="BB27">
        <f t="shared" si="6"/>
        <v>243</v>
      </c>
      <c r="BC27">
        <f t="shared" si="7"/>
        <v>212</v>
      </c>
      <c r="BD27">
        <f t="shared" si="8"/>
        <v>181</v>
      </c>
      <c r="BE27">
        <f t="shared" si="9"/>
        <v>151</v>
      </c>
      <c r="BF27">
        <f t="shared" si="10"/>
        <v>120</v>
      </c>
      <c r="BG27">
        <f t="shared" si="23"/>
        <v>90</v>
      </c>
      <c r="BH27">
        <f t="shared" si="24"/>
        <v>59</v>
      </c>
      <c r="BI27">
        <f t="shared" si="25"/>
        <v>28</v>
      </c>
      <c r="BJ27">
        <f t="shared" si="26"/>
        <v>0</v>
      </c>
      <c r="BK27">
        <f t="shared" si="27"/>
        <v>0</v>
      </c>
      <c r="BL27">
        <f t="shared" si="28"/>
        <v>0</v>
      </c>
      <c r="BM27">
        <f t="shared" si="29"/>
        <v>0</v>
      </c>
      <c r="BN27">
        <f t="shared" si="30"/>
        <v>0</v>
      </c>
      <c r="BO27">
        <f t="shared" si="31"/>
        <v>0</v>
      </c>
      <c r="BP27">
        <f t="shared" si="32"/>
        <v>0</v>
      </c>
      <c r="BQ27">
        <f t="shared" si="33"/>
        <v>0</v>
      </c>
      <c r="BR27">
        <f t="shared" si="34"/>
        <v>0</v>
      </c>
      <c r="BS27">
        <f t="shared" si="35"/>
        <v>0</v>
      </c>
      <c r="BT27">
        <f t="shared" si="36"/>
        <v>0</v>
      </c>
    </row>
    <row r="28" spans="1:72" ht="12.95" customHeight="1" x14ac:dyDescent="0.2">
      <c r="A28">
        <f t="shared" si="12"/>
        <v>2025</v>
      </c>
      <c r="B28">
        <f t="shared" si="13"/>
        <v>4</v>
      </c>
      <c r="C28">
        <f t="shared" si="14"/>
        <v>2</v>
      </c>
      <c r="D28" s="11">
        <f>prod!A25</f>
        <v>45748</v>
      </c>
      <c r="E28" s="11">
        <f t="shared" si="15"/>
        <v>46112</v>
      </c>
      <c r="F28" s="10" t="str">
        <f>prod!B25</f>
        <v>רכב רכוש</v>
      </c>
      <c r="G28" s="10" t="str">
        <f>prod!C25</f>
        <v xml:space="preserve">קסקו מקיף </v>
      </c>
      <c r="H28" s="10">
        <f>prod!D25</f>
        <v>969672</v>
      </c>
      <c r="I28" s="10">
        <f>SUMIFS(info!C:C,info!$A:$A,data!$A28,info!$B:$B,data!$G28)</f>
        <v>0.14000000000000001</v>
      </c>
      <c r="J28" s="10">
        <f>SUMIFS(info!D:D,info!$A:$A,data!$A28,info!$B:$B,data!$G28)</f>
        <v>0.8</v>
      </c>
      <c r="K28" s="10">
        <f>SUMIFS(info!E:E,info!$A:$A,data!$A28,info!$B:$B,data!$G28)</f>
        <v>0.2</v>
      </c>
      <c r="L28" s="10">
        <f>SUMIFS(info!F:F,info!$A:$A,data!$A28,info!$B:$B,data!$G28)</f>
        <v>0.7</v>
      </c>
      <c r="M28" s="10">
        <f>IF(SUMIFS(info!$C$25:$C$27,info!$A$25:$A$27,data!A28,info!$B$25:$B$27,data!F28)&lt;=0,1,SUMIFS(info!$C$25:$C$27,info!$A$25:$A$27,data!A28,info!$B$25:$B$27,data!F28))*H28</f>
        <v>969672</v>
      </c>
      <c r="N28" s="10">
        <f t="shared" si="16"/>
        <v>775737.60000000009</v>
      </c>
      <c r="O28" s="10">
        <f t="shared" si="17"/>
        <v>135754.08000000002</v>
      </c>
      <c r="P28" s="10">
        <f t="shared" si="18"/>
        <v>155147.52000000002</v>
      </c>
      <c r="Q28" s="10">
        <f t="shared" si="19"/>
        <v>678770.39999999991</v>
      </c>
      <c r="R28" s="10">
        <f t="shared" si="20"/>
        <v>543016.31999999995</v>
      </c>
      <c r="S28" s="10">
        <f t="shared" si="21"/>
        <v>0</v>
      </c>
      <c r="T28" s="10">
        <f t="shared" si="21"/>
        <v>727918.15890410962</v>
      </c>
      <c r="U28" s="10">
        <f t="shared" si="21"/>
        <v>483507.68219178083</v>
      </c>
      <c r="V28" s="10">
        <f t="shared" si="21"/>
        <v>239097.20547945207</v>
      </c>
      <c r="W28" s="10">
        <f t="shared" si="21"/>
        <v>0</v>
      </c>
      <c r="X28" s="10">
        <f t="shared" si="21"/>
        <v>0</v>
      </c>
      <c r="Y28" s="10">
        <f t="shared" si="21"/>
        <v>0</v>
      </c>
      <c r="Z28" s="10">
        <f t="shared" si="21"/>
        <v>0</v>
      </c>
      <c r="AA28" s="10"/>
      <c r="AB28" s="10"/>
      <c r="AC28">
        <f t="shared" si="38"/>
        <v>365</v>
      </c>
      <c r="AD28">
        <f t="shared" si="38"/>
        <v>335</v>
      </c>
      <c r="AE28">
        <f t="shared" si="38"/>
        <v>304</v>
      </c>
      <c r="AF28">
        <f t="shared" si="38"/>
        <v>274</v>
      </c>
      <c r="AG28">
        <f t="shared" si="38"/>
        <v>243</v>
      </c>
      <c r="AH28">
        <f t="shared" si="38"/>
        <v>212</v>
      </c>
      <c r="AI28">
        <f t="shared" si="38"/>
        <v>182</v>
      </c>
      <c r="AJ28">
        <f t="shared" si="38"/>
        <v>151</v>
      </c>
      <c r="AK28">
        <f t="shared" si="38"/>
        <v>121</v>
      </c>
      <c r="AL28">
        <f t="shared" si="38"/>
        <v>90</v>
      </c>
      <c r="AM28">
        <f t="shared" si="38"/>
        <v>59</v>
      </c>
      <c r="AN28">
        <f t="shared" si="38"/>
        <v>31</v>
      </c>
      <c r="AO28">
        <f t="shared" si="38"/>
        <v>0</v>
      </c>
      <c r="AP28">
        <f t="shared" si="38"/>
        <v>-30</v>
      </c>
      <c r="AQ28">
        <f t="shared" si="38"/>
        <v>-61</v>
      </c>
      <c r="AR28">
        <f t="shared" si="38"/>
        <v>-91</v>
      </c>
      <c r="AS28">
        <f t="shared" si="37"/>
        <v>-122</v>
      </c>
      <c r="AT28">
        <f t="shared" si="37"/>
        <v>-153</v>
      </c>
      <c r="AU28">
        <f t="shared" si="37"/>
        <v>-183</v>
      </c>
      <c r="AV28">
        <f t="shared" si="37"/>
        <v>-214</v>
      </c>
      <c r="AW28">
        <f t="shared" si="37"/>
        <v>-244</v>
      </c>
      <c r="AX28">
        <f t="shared" si="37"/>
        <v>-275</v>
      </c>
      <c r="AY28">
        <f t="shared" si="3"/>
        <v>365</v>
      </c>
      <c r="AZ28">
        <f t="shared" si="4"/>
        <v>335</v>
      </c>
      <c r="BA28">
        <f t="shared" si="5"/>
        <v>304</v>
      </c>
      <c r="BB28">
        <f t="shared" si="6"/>
        <v>274</v>
      </c>
      <c r="BC28">
        <f t="shared" si="7"/>
        <v>243</v>
      </c>
      <c r="BD28">
        <f t="shared" si="8"/>
        <v>212</v>
      </c>
      <c r="BE28">
        <f t="shared" si="9"/>
        <v>182</v>
      </c>
      <c r="BF28">
        <f t="shared" si="10"/>
        <v>151</v>
      </c>
      <c r="BG28">
        <f t="shared" si="23"/>
        <v>121</v>
      </c>
      <c r="BH28">
        <f t="shared" si="24"/>
        <v>90</v>
      </c>
      <c r="BI28">
        <f t="shared" si="25"/>
        <v>59</v>
      </c>
      <c r="BJ28">
        <f t="shared" si="26"/>
        <v>31</v>
      </c>
      <c r="BK28">
        <f t="shared" si="27"/>
        <v>0</v>
      </c>
      <c r="BL28">
        <f t="shared" si="28"/>
        <v>0</v>
      </c>
      <c r="BM28">
        <f t="shared" si="29"/>
        <v>0</v>
      </c>
      <c r="BN28">
        <f t="shared" si="30"/>
        <v>0</v>
      </c>
      <c r="BO28">
        <f t="shared" si="31"/>
        <v>0</v>
      </c>
      <c r="BP28">
        <f t="shared" si="32"/>
        <v>0</v>
      </c>
      <c r="BQ28">
        <f t="shared" si="33"/>
        <v>0</v>
      </c>
      <c r="BR28">
        <f t="shared" si="34"/>
        <v>0</v>
      </c>
      <c r="BS28">
        <f t="shared" si="35"/>
        <v>0</v>
      </c>
      <c r="BT28">
        <f t="shared" si="36"/>
        <v>0</v>
      </c>
    </row>
    <row r="29" spans="1:72" ht="12.95" customHeight="1" x14ac:dyDescent="0.2">
      <c r="A29">
        <f t="shared" si="12"/>
        <v>2025</v>
      </c>
      <c r="B29">
        <f t="shared" si="13"/>
        <v>5</v>
      </c>
      <c r="C29">
        <f t="shared" si="14"/>
        <v>2</v>
      </c>
      <c r="D29" s="11">
        <f>prod!A26</f>
        <v>45778</v>
      </c>
      <c r="E29" s="11">
        <f t="shared" si="15"/>
        <v>46142</v>
      </c>
      <c r="F29" s="10" t="str">
        <f>prod!B26</f>
        <v>רכב רכוש</v>
      </c>
      <c r="G29" s="10" t="str">
        <f>prod!C26</f>
        <v xml:space="preserve">קסקו מקיף </v>
      </c>
      <c r="H29" s="10">
        <f>prod!D26</f>
        <v>1327534</v>
      </c>
      <c r="I29" s="10">
        <f>SUMIFS(info!C:C,info!$A:$A,data!$A29,info!$B:$B,data!$G29)</f>
        <v>0.14000000000000001</v>
      </c>
      <c r="J29" s="10">
        <f>SUMIFS(info!D:D,info!$A:$A,data!$A29,info!$B:$B,data!$G29)</f>
        <v>0.8</v>
      </c>
      <c r="K29" s="10">
        <f>SUMIFS(info!E:E,info!$A:$A,data!$A29,info!$B:$B,data!$G29)</f>
        <v>0.2</v>
      </c>
      <c r="L29" s="10">
        <f>SUMIFS(info!F:F,info!$A:$A,data!$A29,info!$B:$B,data!$G29)</f>
        <v>0.7</v>
      </c>
      <c r="M29" s="10">
        <f>IF(SUMIFS(info!$C$25:$C$27,info!$A$25:$A$27,data!A29,info!$B$25:$B$27,data!F29)&lt;=0,1,SUMIFS(info!$C$25:$C$27,info!$A$25:$A$27,data!A29,info!$B$25:$B$27,data!F29))*H29</f>
        <v>1327534</v>
      </c>
      <c r="N29" s="10">
        <f t="shared" si="16"/>
        <v>1062027.2</v>
      </c>
      <c r="O29" s="10">
        <f t="shared" si="17"/>
        <v>185854.76</v>
      </c>
      <c r="P29" s="10">
        <f t="shared" si="18"/>
        <v>212405.44</v>
      </c>
      <c r="Q29" s="10">
        <f t="shared" si="19"/>
        <v>929273.79999999993</v>
      </c>
      <c r="R29" s="10">
        <f t="shared" si="20"/>
        <v>743419.04</v>
      </c>
      <c r="S29" s="10">
        <f t="shared" si="21"/>
        <v>0</v>
      </c>
      <c r="T29" s="10">
        <f t="shared" si="21"/>
        <v>1105672.1534246576</v>
      </c>
      <c r="U29" s="10">
        <f t="shared" si="21"/>
        <v>771060.84383561648</v>
      </c>
      <c r="V29" s="10">
        <f t="shared" si="21"/>
        <v>436449.53424657532</v>
      </c>
      <c r="W29" s="10">
        <f t="shared" si="21"/>
        <v>109112.38356164383</v>
      </c>
      <c r="X29" s="10">
        <f t="shared" si="21"/>
        <v>0</v>
      </c>
      <c r="Y29" s="10">
        <f t="shared" si="21"/>
        <v>0</v>
      </c>
      <c r="Z29" s="10">
        <f t="shared" si="21"/>
        <v>0</v>
      </c>
      <c r="AA29" s="10"/>
      <c r="AB29" s="10"/>
      <c r="AC29">
        <f t="shared" si="38"/>
        <v>0</v>
      </c>
      <c r="AD29">
        <f t="shared" si="38"/>
        <v>365</v>
      </c>
      <c r="AE29">
        <f t="shared" si="38"/>
        <v>334</v>
      </c>
      <c r="AF29">
        <f t="shared" si="38"/>
        <v>304</v>
      </c>
      <c r="AG29">
        <f t="shared" si="38"/>
        <v>273</v>
      </c>
      <c r="AH29">
        <f t="shared" si="38"/>
        <v>242</v>
      </c>
      <c r="AI29">
        <f t="shared" si="38"/>
        <v>212</v>
      </c>
      <c r="AJ29">
        <f t="shared" si="38"/>
        <v>181</v>
      </c>
      <c r="AK29">
        <f t="shared" si="38"/>
        <v>151</v>
      </c>
      <c r="AL29">
        <f t="shared" si="38"/>
        <v>120</v>
      </c>
      <c r="AM29">
        <f t="shared" si="38"/>
        <v>89</v>
      </c>
      <c r="AN29">
        <f t="shared" si="38"/>
        <v>61</v>
      </c>
      <c r="AO29">
        <f t="shared" si="38"/>
        <v>30</v>
      </c>
      <c r="AP29">
        <f t="shared" si="38"/>
        <v>0</v>
      </c>
      <c r="AQ29">
        <f t="shared" si="38"/>
        <v>-31</v>
      </c>
      <c r="AR29">
        <f t="shared" si="38"/>
        <v>-61</v>
      </c>
      <c r="AS29">
        <f t="shared" si="37"/>
        <v>-92</v>
      </c>
      <c r="AT29">
        <f t="shared" si="37"/>
        <v>-123</v>
      </c>
      <c r="AU29">
        <f t="shared" si="37"/>
        <v>-153</v>
      </c>
      <c r="AV29">
        <f t="shared" si="37"/>
        <v>-184</v>
      </c>
      <c r="AW29">
        <f t="shared" si="37"/>
        <v>-214</v>
      </c>
      <c r="AX29">
        <f t="shared" si="37"/>
        <v>-245</v>
      </c>
      <c r="AY29">
        <f t="shared" si="3"/>
        <v>0</v>
      </c>
      <c r="AZ29">
        <f t="shared" si="4"/>
        <v>365</v>
      </c>
      <c r="BA29">
        <f t="shared" si="5"/>
        <v>334</v>
      </c>
      <c r="BB29">
        <f t="shared" si="6"/>
        <v>304</v>
      </c>
      <c r="BC29">
        <f t="shared" si="7"/>
        <v>273</v>
      </c>
      <c r="BD29">
        <f t="shared" si="8"/>
        <v>242</v>
      </c>
      <c r="BE29">
        <f t="shared" si="9"/>
        <v>212</v>
      </c>
      <c r="BF29">
        <f t="shared" si="10"/>
        <v>181</v>
      </c>
      <c r="BG29">
        <f t="shared" si="23"/>
        <v>151</v>
      </c>
      <c r="BH29">
        <f t="shared" si="24"/>
        <v>120</v>
      </c>
      <c r="BI29">
        <f t="shared" si="25"/>
        <v>89</v>
      </c>
      <c r="BJ29">
        <f t="shared" si="26"/>
        <v>61</v>
      </c>
      <c r="BK29">
        <f t="shared" si="27"/>
        <v>30</v>
      </c>
      <c r="BL29">
        <f t="shared" si="28"/>
        <v>0</v>
      </c>
      <c r="BM29">
        <f t="shared" si="29"/>
        <v>0</v>
      </c>
      <c r="BN29">
        <f t="shared" si="30"/>
        <v>0</v>
      </c>
      <c r="BO29">
        <f t="shared" si="31"/>
        <v>0</v>
      </c>
      <c r="BP29">
        <f t="shared" si="32"/>
        <v>0</v>
      </c>
      <c r="BQ29">
        <f t="shared" si="33"/>
        <v>0</v>
      </c>
      <c r="BR29">
        <f t="shared" si="34"/>
        <v>0</v>
      </c>
      <c r="BS29">
        <f t="shared" si="35"/>
        <v>0</v>
      </c>
      <c r="BT29">
        <f t="shared" si="36"/>
        <v>0</v>
      </c>
    </row>
    <row r="30" spans="1:72" ht="12.95" customHeight="1" x14ac:dyDescent="0.2">
      <c r="A30">
        <f t="shared" si="12"/>
        <v>2025</v>
      </c>
      <c r="B30">
        <f t="shared" si="13"/>
        <v>6</v>
      </c>
      <c r="C30">
        <f t="shared" si="14"/>
        <v>2</v>
      </c>
      <c r="D30" s="11">
        <f>prod!A27</f>
        <v>45809</v>
      </c>
      <c r="E30" s="11">
        <f t="shared" si="15"/>
        <v>46173</v>
      </c>
      <c r="F30" s="10" t="str">
        <f>prod!B27</f>
        <v>רכב רכוש</v>
      </c>
      <c r="G30" s="10" t="str">
        <f>prod!C27</f>
        <v xml:space="preserve">קסקו מקיף </v>
      </c>
      <c r="H30" s="10">
        <f>prod!D27</f>
        <v>2941562</v>
      </c>
      <c r="I30" s="10">
        <f>SUMIFS(info!C:C,info!$A:$A,data!$A30,info!$B:$B,data!$G30)</f>
        <v>0.14000000000000001</v>
      </c>
      <c r="J30" s="10">
        <f>SUMIFS(info!D:D,info!$A:$A,data!$A30,info!$B:$B,data!$G30)</f>
        <v>0.8</v>
      </c>
      <c r="K30" s="10">
        <f>SUMIFS(info!E:E,info!$A:$A,data!$A30,info!$B:$B,data!$G30)</f>
        <v>0.2</v>
      </c>
      <c r="L30" s="10">
        <f>SUMIFS(info!F:F,info!$A:$A,data!$A30,info!$B:$B,data!$G30)</f>
        <v>0.7</v>
      </c>
      <c r="M30" s="10">
        <f>IF(SUMIFS(info!$C$25:$C$27,info!$A$25:$A$27,data!A30,info!$B$25:$B$27,data!F30)&lt;=0,1,SUMIFS(info!$C$25:$C$27,info!$A$25:$A$27,data!A30,info!$B$25:$B$27,data!F30))*H30</f>
        <v>2941562</v>
      </c>
      <c r="N30" s="10">
        <f t="shared" si="16"/>
        <v>2353249.6</v>
      </c>
      <c r="O30" s="10">
        <f t="shared" si="17"/>
        <v>411818.68000000005</v>
      </c>
      <c r="P30" s="10">
        <f t="shared" si="18"/>
        <v>470649.92000000004</v>
      </c>
      <c r="Q30" s="10">
        <f t="shared" si="19"/>
        <v>2059093.4</v>
      </c>
      <c r="R30" s="10">
        <f t="shared" si="20"/>
        <v>1647274.72</v>
      </c>
      <c r="S30" s="10">
        <f t="shared" si="21"/>
        <v>0</v>
      </c>
      <c r="T30" s="10">
        <f t="shared" si="21"/>
        <v>2699789.7808219176</v>
      </c>
      <c r="U30" s="10">
        <f t="shared" si="21"/>
        <v>1958354.9753424658</v>
      </c>
      <c r="V30" s="10">
        <f t="shared" si="21"/>
        <v>1216920.1698630138</v>
      </c>
      <c r="W30" s="10">
        <f t="shared" si="21"/>
        <v>491603.5123287671</v>
      </c>
      <c r="X30" s="10">
        <f t="shared" si="21"/>
        <v>0</v>
      </c>
      <c r="Y30" s="10">
        <f t="shared" si="21"/>
        <v>0</v>
      </c>
      <c r="Z30" s="10">
        <f t="shared" si="21"/>
        <v>0</v>
      </c>
      <c r="AA30" s="10"/>
      <c r="AB30" s="10"/>
      <c r="AC30">
        <f t="shared" si="38"/>
        <v>0</v>
      </c>
      <c r="AD30">
        <f t="shared" si="38"/>
        <v>0</v>
      </c>
      <c r="AE30">
        <f t="shared" si="38"/>
        <v>365</v>
      </c>
      <c r="AF30">
        <f t="shared" si="38"/>
        <v>335</v>
      </c>
      <c r="AG30">
        <f t="shared" si="38"/>
        <v>304</v>
      </c>
      <c r="AH30">
        <f t="shared" si="38"/>
        <v>273</v>
      </c>
      <c r="AI30">
        <f t="shared" si="38"/>
        <v>243</v>
      </c>
      <c r="AJ30">
        <f t="shared" si="38"/>
        <v>212</v>
      </c>
      <c r="AK30">
        <f t="shared" si="38"/>
        <v>182</v>
      </c>
      <c r="AL30">
        <f t="shared" si="38"/>
        <v>151</v>
      </c>
      <c r="AM30">
        <f t="shared" si="38"/>
        <v>120</v>
      </c>
      <c r="AN30">
        <f t="shared" si="38"/>
        <v>92</v>
      </c>
      <c r="AO30">
        <f t="shared" si="38"/>
        <v>61</v>
      </c>
      <c r="AP30">
        <f t="shared" si="38"/>
        <v>31</v>
      </c>
      <c r="AQ30">
        <f t="shared" si="38"/>
        <v>0</v>
      </c>
      <c r="AR30">
        <f t="shared" si="38"/>
        <v>-30</v>
      </c>
      <c r="AS30">
        <f t="shared" si="37"/>
        <v>-61</v>
      </c>
      <c r="AT30">
        <f t="shared" si="37"/>
        <v>-92</v>
      </c>
      <c r="AU30">
        <f t="shared" si="37"/>
        <v>-122</v>
      </c>
      <c r="AV30">
        <f t="shared" si="37"/>
        <v>-153</v>
      </c>
      <c r="AW30">
        <f t="shared" si="37"/>
        <v>-183</v>
      </c>
      <c r="AX30">
        <f t="shared" si="37"/>
        <v>-214</v>
      </c>
      <c r="AY30">
        <f t="shared" si="3"/>
        <v>0</v>
      </c>
      <c r="AZ30">
        <f t="shared" si="4"/>
        <v>0</v>
      </c>
      <c r="BA30">
        <f t="shared" si="5"/>
        <v>365</v>
      </c>
      <c r="BB30">
        <f t="shared" si="6"/>
        <v>335</v>
      </c>
      <c r="BC30">
        <f t="shared" si="7"/>
        <v>304</v>
      </c>
      <c r="BD30">
        <f t="shared" si="8"/>
        <v>273</v>
      </c>
      <c r="BE30">
        <f t="shared" si="9"/>
        <v>243</v>
      </c>
      <c r="BF30">
        <f t="shared" si="10"/>
        <v>212</v>
      </c>
      <c r="BG30">
        <f t="shared" si="23"/>
        <v>182</v>
      </c>
      <c r="BH30">
        <f t="shared" si="24"/>
        <v>151</v>
      </c>
      <c r="BI30">
        <f t="shared" si="25"/>
        <v>120</v>
      </c>
      <c r="BJ30">
        <f t="shared" si="26"/>
        <v>92</v>
      </c>
      <c r="BK30">
        <f t="shared" si="27"/>
        <v>61</v>
      </c>
      <c r="BL30">
        <f t="shared" si="28"/>
        <v>31</v>
      </c>
      <c r="BM30">
        <f t="shared" si="29"/>
        <v>0</v>
      </c>
      <c r="BN30">
        <f t="shared" si="30"/>
        <v>0</v>
      </c>
      <c r="BO30">
        <f t="shared" si="31"/>
        <v>0</v>
      </c>
      <c r="BP30">
        <f t="shared" si="32"/>
        <v>0</v>
      </c>
      <c r="BQ30">
        <f t="shared" si="33"/>
        <v>0</v>
      </c>
      <c r="BR30">
        <f t="shared" si="34"/>
        <v>0</v>
      </c>
      <c r="BS30">
        <f t="shared" si="35"/>
        <v>0</v>
      </c>
      <c r="BT30">
        <f t="shared" si="36"/>
        <v>0</v>
      </c>
    </row>
    <row r="31" spans="1:72" ht="12.95" customHeight="1" x14ac:dyDescent="0.2">
      <c r="A31">
        <f t="shared" si="12"/>
        <v>2025</v>
      </c>
      <c r="B31">
        <f t="shared" si="13"/>
        <v>7</v>
      </c>
      <c r="C31">
        <f t="shared" si="14"/>
        <v>3</v>
      </c>
      <c r="D31" s="11">
        <f>prod!A28</f>
        <v>45839</v>
      </c>
      <c r="E31" s="11">
        <f t="shared" si="15"/>
        <v>46203</v>
      </c>
      <c r="F31" s="10" t="str">
        <f>prod!B28</f>
        <v>רכב רכוש</v>
      </c>
      <c r="G31" s="10" t="str">
        <f>prod!C28</f>
        <v xml:space="preserve">קסקו מקיף </v>
      </c>
      <c r="H31" s="10">
        <f>prod!D28</f>
        <v>4528401</v>
      </c>
      <c r="I31" s="10">
        <f>SUMIFS(info!C:C,info!$A:$A,data!$A31,info!$B:$B,data!$G31)</f>
        <v>0.14000000000000001</v>
      </c>
      <c r="J31" s="10">
        <f>SUMIFS(info!D:D,info!$A:$A,data!$A31,info!$B:$B,data!$G31)</f>
        <v>0.8</v>
      </c>
      <c r="K31" s="10">
        <f>SUMIFS(info!E:E,info!$A:$A,data!$A31,info!$B:$B,data!$G31)</f>
        <v>0.2</v>
      </c>
      <c r="L31" s="10">
        <f>SUMIFS(info!F:F,info!$A:$A,data!$A31,info!$B:$B,data!$G31)</f>
        <v>0.7</v>
      </c>
      <c r="M31" s="10">
        <f>IF(SUMIFS(info!$C$25:$C$27,info!$A$25:$A$27,data!A31,info!$B$25:$B$27,data!F31)&lt;=0,1,SUMIFS(info!$C$25:$C$27,info!$A$25:$A$27,data!A31,info!$B$25:$B$27,data!F31))*H31</f>
        <v>4528401</v>
      </c>
      <c r="N31" s="10">
        <f t="shared" si="16"/>
        <v>3622720.8000000003</v>
      </c>
      <c r="O31" s="10">
        <f t="shared" si="17"/>
        <v>633976.14</v>
      </c>
      <c r="P31" s="10">
        <f t="shared" si="18"/>
        <v>724544.16000000015</v>
      </c>
      <c r="Q31" s="10">
        <f t="shared" si="19"/>
        <v>3169880.6999999997</v>
      </c>
      <c r="R31" s="10">
        <f t="shared" si="20"/>
        <v>2535904.56</v>
      </c>
      <c r="S31" s="10">
        <f t="shared" si="21"/>
        <v>0</v>
      </c>
      <c r="T31" s="10">
        <f t="shared" si="21"/>
        <v>0</v>
      </c>
      <c r="U31" s="10">
        <f t="shared" si="21"/>
        <v>3386995.8164383559</v>
      </c>
      <c r="V31" s="10">
        <f t="shared" si="21"/>
        <v>2245590.6328767124</v>
      </c>
      <c r="W31" s="10">
        <f t="shared" si="21"/>
        <v>1128998.6054794521</v>
      </c>
      <c r="X31" s="10">
        <f t="shared" si="21"/>
        <v>0</v>
      </c>
      <c r="Y31" s="10">
        <f t="shared" si="21"/>
        <v>0</v>
      </c>
      <c r="Z31" s="10">
        <f t="shared" si="21"/>
        <v>0</v>
      </c>
      <c r="AA31" s="10"/>
      <c r="AB31" s="10"/>
      <c r="AC31">
        <f t="shared" si="38"/>
        <v>0</v>
      </c>
      <c r="AD31">
        <f t="shared" si="38"/>
        <v>0</v>
      </c>
      <c r="AE31">
        <f t="shared" si="38"/>
        <v>0</v>
      </c>
      <c r="AF31">
        <f t="shared" si="38"/>
        <v>365</v>
      </c>
      <c r="AG31">
        <f t="shared" si="38"/>
        <v>334</v>
      </c>
      <c r="AH31">
        <f t="shared" si="38"/>
        <v>303</v>
      </c>
      <c r="AI31">
        <f t="shared" si="38"/>
        <v>273</v>
      </c>
      <c r="AJ31">
        <f t="shared" si="38"/>
        <v>242</v>
      </c>
      <c r="AK31">
        <f t="shared" si="38"/>
        <v>212</v>
      </c>
      <c r="AL31">
        <f t="shared" si="38"/>
        <v>181</v>
      </c>
      <c r="AM31">
        <f t="shared" si="38"/>
        <v>150</v>
      </c>
      <c r="AN31">
        <f t="shared" si="38"/>
        <v>122</v>
      </c>
      <c r="AO31">
        <f t="shared" si="38"/>
        <v>91</v>
      </c>
      <c r="AP31">
        <f t="shared" si="38"/>
        <v>61</v>
      </c>
      <c r="AQ31">
        <f t="shared" si="38"/>
        <v>30</v>
      </c>
      <c r="AR31">
        <f t="shared" si="38"/>
        <v>0</v>
      </c>
      <c r="AS31">
        <f t="shared" si="37"/>
        <v>-31</v>
      </c>
      <c r="AT31">
        <f t="shared" si="37"/>
        <v>-62</v>
      </c>
      <c r="AU31">
        <f t="shared" si="37"/>
        <v>-92</v>
      </c>
      <c r="AV31">
        <f t="shared" si="37"/>
        <v>-123</v>
      </c>
      <c r="AW31">
        <f t="shared" si="37"/>
        <v>-153</v>
      </c>
      <c r="AX31">
        <f t="shared" si="37"/>
        <v>-184</v>
      </c>
      <c r="AY31">
        <f t="shared" si="3"/>
        <v>0</v>
      </c>
      <c r="AZ31">
        <f t="shared" si="4"/>
        <v>0</v>
      </c>
      <c r="BA31">
        <f t="shared" si="5"/>
        <v>0</v>
      </c>
      <c r="BB31">
        <f t="shared" si="6"/>
        <v>365</v>
      </c>
      <c r="BC31">
        <f t="shared" si="7"/>
        <v>334</v>
      </c>
      <c r="BD31">
        <f t="shared" si="8"/>
        <v>303</v>
      </c>
      <c r="BE31">
        <f t="shared" si="9"/>
        <v>273</v>
      </c>
      <c r="BF31">
        <f t="shared" si="10"/>
        <v>242</v>
      </c>
      <c r="BG31">
        <f t="shared" si="23"/>
        <v>212</v>
      </c>
      <c r="BH31">
        <f t="shared" si="24"/>
        <v>181</v>
      </c>
      <c r="BI31">
        <f t="shared" si="25"/>
        <v>150</v>
      </c>
      <c r="BJ31">
        <f t="shared" si="26"/>
        <v>122</v>
      </c>
      <c r="BK31">
        <f t="shared" si="27"/>
        <v>91</v>
      </c>
      <c r="BL31">
        <f t="shared" si="28"/>
        <v>61</v>
      </c>
      <c r="BM31">
        <f t="shared" si="29"/>
        <v>30</v>
      </c>
      <c r="BN31">
        <f t="shared" si="30"/>
        <v>0</v>
      </c>
      <c r="BO31">
        <f t="shared" si="31"/>
        <v>0</v>
      </c>
      <c r="BP31">
        <f t="shared" si="32"/>
        <v>0</v>
      </c>
      <c r="BQ31">
        <f t="shared" si="33"/>
        <v>0</v>
      </c>
      <c r="BR31">
        <f t="shared" si="34"/>
        <v>0</v>
      </c>
      <c r="BS31">
        <f t="shared" si="35"/>
        <v>0</v>
      </c>
      <c r="BT31">
        <f t="shared" si="36"/>
        <v>0</v>
      </c>
    </row>
    <row r="32" spans="1:72" ht="12.95" customHeight="1" x14ac:dyDescent="0.2">
      <c r="A32">
        <f t="shared" si="12"/>
        <v>2025</v>
      </c>
      <c r="B32">
        <f t="shared" si="13"/>
        <v>8</v>
      </c>
      <c r="C32">
        <f t="shared" si="14"/>
        <v>3</v>
      </c>
      <c r="D32" s="11">
        <f>prod!A29</f>
        <v>45870</v>
      </c>
      <c r="E32" s="11">
        <f t="shared" si="15"/>
        <v>46234</v>
      </c>
      <c r="F32" s="10" t="str">
        <f>prod!B29</f>
        <v>רכב רכוש</v>
      </c>
      <c r="G32" s="10" t="str">
        <f>prod!C29</f>
        <v xml:space="preserve">קסקו מקיף </v>
      </c>
      <c r="H32" s="10">
        <f>prod!D29</f>
        <v>5457353</v>
      </c>
      <c r="I32" s="10">
        <f>SUMIFS(info!C:C,info!$A:$A,data!$A32,info!$B:$B,data!$G32)</f>
        <v>0.14000000000000001</v>
      </c>
      <c r="J32" s="10">
        <f>SUMIFS(info!D:D,info!$A:$A,data!$A32,info!$B:$B,data!$G32)</f>
        <v>0.8</v>
      </c>
      <c r="K32" s="10">
        <f>SUMIFS(info!E:E,info!$A:$A,data!$A32,info!$B:$B,data!$G32)</f>
        <v>0.2</v>
      </c>
      <c r="L32" s="10">
        <f>SUMIFS(info!F:F,info!$A:$A,data!$A32,info!$B:$B,data!$G32)</f>
        <v>0.7</v>
      </c>
      <c r="M32" s="10">
        <f>IF(SUMIFS(info!$C$25:$C$27,info!$A$25:$A$27,data!A32,info!$B$25:$B$27,data!F32)&lt;=0,1,SUMIFS(info!$C$25:$C$27,info!$A$25:$A$27,data!A32,info!$B$25:$B$27,data!F32))*H32</f>
        <v>5457353</v>
      </c>
      <c r="N32" s="10">
        <f t="shared" si="16"/>
        <v>4365882.4000000004</v>
      </c>
      <c r="O32" s="10">
        <f t="shared" si="17"/>
        <v>764029.42</v>
      </c>
      <c r="P32" s="10">
        <f t="shared" si="18"/>
        <v>873176.4800000001</v>
      </c>
      <c r="Q32" s="10">
        <f t="shared" si="19"/>
        <v>3820147.0999999996</v>
      </c>
      <c r="R32" s="10">
        <f t="shared" si="20"/>
        <v>3056117.6799999997</v>
      </c>
      <c r="S32" s="10">
        <f t="shared" si="21"/>
        <v>0</v>
      </c>
      <c r="T32" s="10">
        <f t="shared" si="21"/>
        <v>0</v>
      </c>
      <c r="U32" s="10">
        <f t="shared" si="21"/>
        <v>4545302.2246575346</v>
      </c>
      <c r="V32" s="10">
        <f t="shared" si="21"/>
        <v>3169750.2356164386</v>
      </c>
      <c r="W32" s="10">
        <f t="shared" si="21"/>
        <v>1824101.5506849315</v>
      </c>
      <c r="X32" s="10">
        <f t="shared" si="21"/>
        <v>463501.21369863016</v>
      </c>
      <c r="Y32" s="10">
        <f t="shared" si="21"/>
        <v>0</v>
      </c>
      <c r="Z32" s="10">
        <f t="shared" si="21"/>
        <v>0</v>
      </c>
      <c r="AA32" s="10"/>
      <c r="AB32" s="10"/>
      <c r="AC32">
        <f t="shared" si="38"/>
        <v>0</v>
      </c>
      <c r="AD32">
        <f t="shared" si="38"/>
        <v>0</v>
      </c>
      <c r="AE32">
        <f t="shared" si="38"/>
        <v>0</v>
      </c>
      <c r="AF32">
        <f t="shared" si="38"/>
        <v>0</v>
      </c>
      <c r="AG32">
        <f t="shared" si="38"/>
        <v>365</v>
      </c>
      <c r="AH32">
        <f t="shared" si="38"/>
        <v>334</v>
      </c>
      <c r="AI32">
        <f t="shared" si="38"/>
        <v>304</v>
      </c>
      <c r="AJ32">
        <f t="shared" si="38"/>
        <v>273</v>
      </c>
      <c r="AK32">
        <f t="shared" si="38"/>
        <v>243</v>
      </c>
      <c r="AL32">
        <f t="shared" si="38"/>
        <v>212</v>
      </c>
      <c r="AM32">
        <f t="shared" si="38"/>
        <v>181</v>
      </c>
      <c r="AN32">
        <f t="shared" si="38"/>
        <v>153</v>
      </c>
      <c r="AO32">
        <f t="shared" si="38"/>
        <v>122</v>
      </c>
      <c r="AP32">
        <f t="shared" si="38"/>
        <v>92</v>
      </c>
      <c r="AQ32">
        <f t="shared" si="38"/>
        <v>61</v>
      </c>
      <c r="AR32">
        <f t="shared" si="38"/>
        <v>31</v>
      </c>
      <c r="AS32">
        <f t="shared" si="37"/>
        <v>0</v>
      </c>
      <c r="AT32">
        <f t="shared" si="37"/>
        <v>-31</v>
      </c>
      <c r="AU32">
        <f t="shared" si="37"/>
        <v>-61</v>
      </c>
      <c r="AV32">
        <f t="shared" si="37"/>
        <v>-92</v>
      </c>
      <c r="AW32">
        <f t="shared" si="37"/>
        <v>-122</v>
      </c>
      <c r="AX32">
        <f t="shared" si="37"/>
        <v>-153</v>
      </c>
      <c r="AY32">
        <f t="shared" si="3"/>
        <v>0</v>
      </c>
      <c r="AZ32">
        <f t="shared" si="4"/>
        <v>0</v>
      </c>
      <c r="BA32">
        <f t="shared" si="5"/>
        <v>0</v>
      </c>
      <c r="BB32">
        <f t="shared" si="6"/>
        <v>0</v>
      </c>
      <c r="BC32">
        <f t="shared" si="7"/>
        <v>365</v>
      </c>
      <c r="BD32">
        <f t="shared" si="8"/>
        <v>334</v>
      </c>
      <c r="BE32">
        <f t="shared" si="9"/>
        <v>304</v>
      </c>
      <c r="BF32">
        <f t="shared" si="10"/>
        <v>273</v>
      </c>
      <c r="BG32">
        <f t="shared" si="23"/>
        <v>243</v>
      </c>
      <c r="BH32">
        <f t="shared" si="24"/>
        <v>212</v>
      </c>
      <c r="BI32">
        <f t="shared" si="25"/>
        <v>181</v>
      </c>
      <c r="BJ32">
        <f t="shared" si="26"/>
        <v>153</v>
      </c>
      <c r="BK32">
        <f t="shared" si="27"/>
        <v>122</v>
      </c>
      <c r="BL32">
        <f t="shared" si="28"/>
        <v>92</v>
      </c>
      <c r="BM32">
        <f t="shared" si="29"/>
        <v>61</v>
      </c>
      <c r="BN32">
        <f t="shared" si="30"/>
        <v>31</v>
      </c>
      <c r="BO32">
        <f t="shared" si="31"/>
        <v>0</v>
      </c>
      <c r="BP32">
        <f t="shared" si="32"/>
        <v>0</v>
      </c>
      <c r="BQ32">
        <f t="shared" si="33"/>
        <v>0</v>
      </c>
      <c r="BR32">
        <f t="shared" si="34"/>
        <v>0</v>
      </c>
      <c r="BS32">
        <f t="shared" si="35"/>
        <v>0</v>
      </c>
      <c r="BT32">
        <f t="shared" si="36"/>
        <v>0</v>
      </c>
    </row>
    <row r="33" spans="1:72" ht="12.95" customHeight="1" x14ac:dyDescent="0.2">
      <c r="A33">
        <f t="shared" si="12"/>
        <v>2025</v>
      </c>
      <c r="B33">
        <f t="shared" si="13"/>
        <v>9</v>
      </c>
      <c r="C33">
        <f t="shared" si="14"/>
        <v>3</v>
      </c>
      <c r="D33" s="11">
        <f>prod!A30</f>
        <v>45901</v>
      </c>
      <c r="E33" s="11">
        <f t="shared" si="15"/>
        <v>46265</v>
      </c>
      <c r="F33" s="10" t="str">
        <f>prod!B30</f>
        <v>רכב רכוש</v>
      </c>
      <c r="G33" s="10" t="str">
        <f>prod!C30</f>
        <v xml:space="preserve">קסקו מקיף </v>
      </c>
      <c r="H33" s="10">
        <f>prod!D30</f>
        <v>8362511</v>
      </c>
      <c r="I33" s="10">
        <f>SUMIFS(info!C:C,info!$A:$A,data!$A33,info!$B:$B,data!$G33)</f>
        <v>0.14000000000000001</v>
      </c>
      <c r="J33" s="10">
        <f>SUMIFS(info!D:D,info!$A:$A,data!$A33,info!$B:$B,data!$G33)</f>
        <v>0.8</v>
      </c>
      <c r="K33" s="10">
        <f>SUMIFS(info!E:E,info!$A:$A,data!$A33,info!$B:$B,data!$G33)</f>
        <v>0.2</v>
      </c>
      <c r="L33" s="10">
        <f>SUMIFS(info!F:F,info!$A:$A,data!$A33,info!$B:$B,data!$G33)</f>
        <v>0.7</v>
      </c>
      <c r="M33" s="10">
        <f>IF(SUMIFS(info!$C$25:$C$27,info!$A$25:$A$27,data!A33,info!$B$25:$B$27,data!F33)&lt;=0,1,SUMIFS(info!$C$25:$C$27,info!$A$25:$A$27,data!A33,info!$B$25:$B$27,data!F33))*H33</f>
        <v>8362511</v>
      </c>
      <c r="N33" s="10">
        <f t="shared" si="16"/>
        <v>6690008.8000000007</v>
      </c>
      <c r="O33" s="10">
        <f t="shared" si="17"/>
        <v>1170751.54</v>
      </c>
      <c r="P33" s="10">
        <f t="shared" si="18"/>
        <v>1338001.7600000002</v>
      </c>
      <c r="Q33" s="10">
        <f t="shared" si="19"/>
        <v>5853757.6999999993</v>
      </c>
      <c r="R33" s="10">
        <f t="shared" si="20"/>
        <v>4683006.1599999992</v>
      </c>
      <c r="S33" s="10">
        <f t="shared" si="21"/>
        <v>0</v>
      </c>
      <c r="T33" s="10">
        <f t="shared" si="21"/>
        <v>0</v>
      </c>
      <c r="U33" s="10">
        <f t="shared" si="21"/>
        <v>7675181.3287671236</v>
      </c>
      <c r="V33" s="10">
        <f t="shared" ref="T33:Z48" si="39">IF($D33&gt;V$4,0,$M33*MAX(0,$E33-V$4)/($E33-$D33+1))</f>
        <v>5567370.3369863015</v>
      </c>
      <c r="W33" s="10">
        <f t="shared" si="39"/>
        <v>3505381.3232876714</v>
      </c>
      <c r="X33" s="10">
        <f t="shared" si="39"/>
        <v>1420481.3205479451</v>
      </c>
      <c r="Y33" s="10">
        <f t="shared" si="39"/>
        <v>0</v>
      </c>
      <c r="Z33" s="10">
        <f t="shared" si="39"/>
        <v>0</v>
      </c>
      <c r="AA33" s="10"/>
      <c r="AB33" s="10"/>
      <c r="AC33">
        <f t="shared" si="38"/>
        <v>0</v>
      </c>
      <c r="AD33">
        <f t="shared" si="38"/>
        <v>0</v>
      </c>
      <c r="AE33">
        <f t="shared" si="38"/>
        <v>0</v>
      </c>
      <c r="AF33">
        <f t="shared" si="38"/>
        <v>0</v>
      </c>
      <c r="AG33">
        <f t="shared" si="38"/>
        <v>0</v>
      </c>
      <c r="AH33">
        <f t="shared" si="38"/>
        <v>365</v>
      </c>
      <c r="AI33">
        <f t="shared" si="38"/>
        <v>335</v>
      </c>
      <c r="AJ33">
        <f t="shared" si="38"/>
        <v>304</v>
      </c>
      <c r="AK33">
        <f t="shared" si="38"/>
        <v>274</v>
      </c>
      <c r="AL33">
        <f t="shared" si="38"/>
        <v>243</v>
      </c>
      <c r="AM33">
        <f t="shared" si="38"/>
        <v>212</v>
      </c>
      <c r="AN33">
        <f t="shared" si="38"/>
        <v>184</v>
      </c>
      <c r="AO33">
        <f t="shared" si="38"/>
        <v>153</v>
      </c>
      <c r="AP33">
        <f t="shared" si="38"/>
        <v>123</v>
      </c>
      <c r="AQ33">
        <f t="shared" si="38"/>
        <v>92</v>
      </c>
      <c r="AR33">
        <f t="shared" si="38"/>
        <v>62</v>
      </c>
      <c r="AS33">
        <f t="shared" si="37"/>
        <v>31</v>
      </c>
      <c r="AT33">
        <f t="shared" si="37"/>
        <v>0</v>
      </c>
      <c r="AU33">
        <f t="shared" si="37"/>
        <v>-30</v>
      </c>
      <c r="AV33">
        <f t="shared" si="37"/>
        <v>-61</v>
      </c>
      <c r="AW33">
        <f t="shared" si="37"/>
        <v>-91</v>
      </c>
      <c r="AX33">
        <f t="shared" si="37"/>
        <v>-122</v>
      </c>
      <c r="AY33">
        <f t="shared" si="3"/>
        <v>0</v>
      </c>
      <c r="AZ33">
        <f t="shared" si="4"/>
        <v>0</v>
      </c>
      <c r="BA33">
        <f t="shared" si="5"/>
        <v>0</v>
      </c>
      <c r="BB33">
        <f t="shared" si="6"/>
        <v>0</v>
      </c>
      <c r="BC33">
        <f t="shared" si="7"/>
        <v>0</v>
      </c>
      <c r="BD33">
        <f t="shared" si="8"/>
        <v>365</v>
      </c>
      <c r="BE33">
        <f t="shared" si="9"/>
        <v>335</v>
      </c>
      <c r="BF33">
        <f t="shared" si="10"/>
        <v>304</v>
      </c>
      <c r="BG33">
        <f t="shared" si="23"/>
        <v>274</v>
      </c>
      <c r="BH33">
        <f t="shared" si="24"/>
        <v>243</v>
      </c>
      <c r="BI33">
        <f t="shared" si="25"/>
        <v>212</v>
      </c>
      <c r="BJ33">
        <f t="shared" si="26"/>
        <v>184</v>
      </c>
      <c r="BK33">
        <f t="shared" si="27"/>
        <v>153</v>
      </c>
      <c r="BL33">
        <f t="shared" si="28"/>
        <v>123</v>
      </c>
      <c r="BM33">
        <f t="shared" si="29"/>
        <v>92</v>
      </c>
      <c r="BN33">
        <f t="shared" si="30"/>
        <v>62</v>
      </c>
      <c r="BO33">
        <f t="shared" si="31"/>
        <v>31</v>
      </c>
      <c r="BP33">
        <f t="shared" si="32"/>
        <v>0</v>
      </c>
      <c r="BQ33">
        <f t="shared" si="33"/>
        <v>0</v>
      </c>
      <c r="BR33">
        <f t="shared" si="34"/>
        <v>0</v>
      </c>
      <c r="BS33">
        <f t="shared" si="35"/>
        <v>0</v>
      </c>
      <c r="BT33">
        <f t="shared" si="36"/>
        <v>0</v>
      </c>
    </row>
    <row r="34" spans="1:72" ht="12.95" customHeight="1" x14ac:dyDescent="0.2">
      <c r="A34">
        <f t="shared" si="12"/>
        <v>2025</v>
      </c>
      <c r="B34">
        <f t="shared" si="13"/>
        <v>10</v>
      </c>
      <c r="C34">
        <f t="shared" si="14"/>
        <v>4</v>
      </c>
      <c r="D34" s="11">
        <f>prod!A31</f>
        <v>45931</v>
      </c>
      <c r="E34" s="11">
        <f t="shared" si="15"/>
        <v>46295</v>
      </c>
      <c r="F34" s="10" t="str">
        <f>prod!B31</f>
        <v>רכב רכוש</v>
      </c>
      <c r="G34" s="10" t="str">
        <f>prod!C31</f>
        <v xml:space="preserve">קסקו מקיף </v>
      </c>
      <c r="H34" s="10">
        <f>prod!D31</f>
        <v>8223845</v>
      </c>
      <c r="I34" s="10">
        <f>SUMIFS(info!C:C,info!$A:$A,data!$A34,info!$B:$B,data!$G34)</f>
        <v>0.14000000000000001</v>
      </c>
      <c r="J34" s="10">
        <f>SUMIFS(info!D:D,info!$A:$A,data!$A34,info!$B:$B,data!$G34)</f>
        <v>0.8</v>
      </c>
      <c r="K34" s="10">
        <f>SUMIFS(info!E:E,info!$A:$A,data!$A34,info!$B:$B,data!$G34)</f>
        <v>0.2</v>
      </c>
      <c r="L34" s="10">
        <f>SUMIFS(info!F:F,info!$A:$A,data!$A34,info!$B:$B,data!$G34)</f>
        <v>0.7</v>
      </c>
      <c r="M34" s="10">
        <f>IF(SUMIFS(info!$C$25:$C$27,info!$A$25:$A$27,data!A34,info!$B$25:$B$27,data!F34)&lt;=0,1,SUMIFS(info!$C$25:$C$27,info!$A$25:$A$27,data!A34,info!$B$25:$B$27,data!F34))*H34</f>
        <v>8223845</v>
      </c>
      <c r="N34" s="10">
        <f t="shared" si="16"/>
        <v>6579076</v>
      </c>
      <c r="O34" s="10">
        <f t="shared" si="17"/>
        <v>1151338.3</v>
      </c>
      <c r="P34" s="10">
        <f t="shared" si="18"/>
        <v>1315815.2000000002</v>
      </c>
      <c r="Q34" s="10">
        <f t="shared" si="19"/>
        <v>5756691.5</v>
      </c>
      <c r="R34" s="10">
        <f t="shared" si="20"/>
        <v>4605353.2</v>
      </c>
      <c r="S34" s="10">
        <f t="shared" si="21"/>
        <v>0</v>
      </c>
      <c r="T34" s="10">
        <f t="shared" si="39"/>
        <v>0</v>
      </c>
      <c r="U34" s="10">
        <f t="shared" si="39"/>
        <v>0</v>
      </c>
      <c r="V34" s="10">
        <f t="shared" si="39"/>
        <v>6150985.4383561648</v>
      </c>
      <c r="W34" s="10">
        <f t="shared" si="39"/>
        <v>4123188.0410958906</v>
      </c>
      <c r="X34" s="10">
        <f t="shared" si="39"/>
        <v>2072859.5616438356</v>
      </c>
      <c r="Y34" s="10">
        <f t="shared" si="39"/>
        <v>0</v>
      </c>
      <c r="Z34" s="10">
        <f t="shared" si="39"/>
        <v>0</v>
      </c>
      <c r="AA34" s="10"/>
      <c r="AB34" s="10"/>
      <c r="AC34">
        <f t="shared" si="38"/>
        <v>0</v>
      </c>
      <c r="AD34">
        <f t="shared" si="38"/>
        <v>0</v>
      </c>
      <c r="AE34">
        <f t="shared" si="38"/>
        <v>0</v>
      </c>
      <c r="AF34">
        <f t="shared" si="38"/>
        <v>0</v>
      </c>
      <c r="AG34">
        <f t="shared" si="38"/>
        <v>0</v>
      </c>
      <c r="AH34">
        <f t="shared" si="38"/>
        <v>0</v>
      </c>
      <c r="AI34">
        <f t="shared" si="38"/>
        <v>365</v>
      </c>
      <c r="AJ34">
        <f t="shared" si="38"/>
        <v>334</v>
      </c>
      <c r="AK34">
        <f t="shared" si="38"/>
        <v>304</v>
      </c>
      <c r="AL34">
        <f t="shared" si="38"/>
        <v>273</v>
      </c>
      <c r="AM34">
        <f t="shared" si="38"/>
        <v>242</v>
      </c>
      <c r="AN34">
        <f t="shared" si="38"/>
        <v>214</v>
      </c>
      <c r="AO34">
        <f t="shared" si="38"/>
        <v>183</v>
      </c>
      <c r="AP34">
        <f t="shared" si="38"/>
        <v>153</v>
      </c>
      <c r="AQ34">
        <f t="shared" si="38"/>
        <v>122</v>
      </c>
      <c r="AR34">
        <f t="shared" si="38"/>
        <v>92</v>
      </c>
      <c r="AS34">
        <f t="shared" si="37"/>
        <v>61</v>
      </c>
      <c r="AT34">
        <f t="shared" si="37"/>
        <v>30</v>
      </c>
      <c r="AU34">
        <f t="shared" si="37"/>
        <v>0</v>
      </c>
      <c r="AV34">
        <f t="shared" si="37"/>
        <v>-31</v>
      </c>
      <c r="AW34">
        <f t="shared" si="37"/>
        <v>-61</v>
      </c>
      <c r="AX34">
        <f t="shared" si="37"/>
        <v>-92</v>
      </c>
      <c r="AY34">
        <f t="shared" si="3"/>
        <v>0</v>
      </c>
      <c r="AZ34">
        <f t="shared" si="4"/>
        <v>0</v>
      </c>
      <c r="BA34">
        <f t="shared" si="5"/>
        <v>0</v>
      </c>
      <c r="BB34">
        <f t="shared" si="6"/>
        <v>0</v>
      </c>
      <c r="BC34">
        <f t="shared" si="7"/>
        <v>0</v>
      </c>
      <c r="BD34">
        <f t="shared" si="8"/>
        <v>0</v>
      </c>
      <c r="BE34">
        <f t="shared" si="9"/>
        <v>365</v>
      </c>
      <c r="BF34">
        <f t="shared" si="10"/>
        <v>334</v>
      </c>
      <c r="BG34">
        <f t="shared" si="23"/>
        <v>304</v>
      </c>
      <c r="BH34">
        <f t="shared" si="24"/>
        <v>273</v>
      </c>
      <c r="BI34">
        <f t="shared" si="25"/>
        <v>242</v>
      </c>
      <c r="BJ34">
        <f t="shared" si="26"/>
        <v>214</v>
      </c>
      <c r="BK34">
        <f t="shared" si="27"/>
        <v>183</v>
      </c>
      <c r="BL34">
        <f t="shared" si="28"/>
        <v>153</v>
      </c>
      <c r="BM34">
        <f t="shared" si="29"/>
        <v>122</v>
      </c>
      <c r="BN34">
        <f t="shared" si="30"/>
        <v>92</v>
      </c>
      <c r="BO34">
        <f t="shared" si="31"/>
        <v>61</v>
      </c>
      <c r="BP34">
        <f t="shared" si="32"/>
        <v>30</v>
      </c>
      <c r="BQ34">
        <f t="shared" si="33"/>
        <v>0</v>
      </c>
      <c r="BR34">
        <f t="shared" si="34"/>
        <v>0</v>
      </c>
      <c r="BS34">
        <f t="shared" si="35"/>
        <v>0</v>
      </c>
      <c r="BT34">
        <f t="shared" si="36"/>
        <v>0</v>
      </c>
    </row>
    <row r="35" spans="1:72" ht="12.95" customHeight="1" x14ac:dyDescent="0.2">
      <c r="A35">
        <f t="shared" si="12"/>
        <v>2025</v>
      </c>
      <c r="B35">
        <f t="shared" si="13"/>
        <v>11</v>
      </c>
      <c r="C35">
        <f t="shared" si="14"/>
        <v>4</v>
      </c>
      <c r="D35" s="11">
        <f>prod!A32</f>
        <v>45962</v>
      </c>
      <c r="E35" s="11">
        <f t="shared" si="15"/>
        <v>46326</v>
      </c>
      <c r="F35" s="10" t="str">
        <f>prod!B32</f>
        <v>רכב רכוש</v>
      </c>
      <c r="G35" s="10" t="str">
        <f>prod!C32</f>
        <v xml:space="preserve">קסקו מקיף </v>
      </c>
      <c r="H35" s="10">
        <f>prod!D32</f>
        <v>10111913</v>
      </c>
      <c r="I35" s="10">
        <f>SUMIFS(info!C:C,info!$A:$A,data!$A35,info!$B:$B,data!$G35)</f>
        <v>0.14000000000000001</v>
      </c>
      <c r="J35" s="10">
        <f>SUMIFS(info!D:D,info!$A:$A,data!$A35,info!$B:$B,data!$G35)</f>
        <v>0.8</v>
      </c>
      <c r="K35" s="10">
        <f>SUMIFS(info!E:E,info!$A:$A,data!$A35,info!$B:$B,data!$G35)</f>
        <v>0.2</v>
      </c>
      <c r="L35" s="10">
        <f>SUMIFS(info!F:F,info!$A:$A,data!$A35,info!$B:$B,data!$G35)</f>
        <v>0.7</v>
      </c>
      <c r="M35" s="10">
        <f>IF(SUMIFS(info!$C$25:$C$27,info!$A$25:$A$27,data!A35,info!$B$25:$B$27,data!F35)&lt;=0,1,SUMIFS(info!$C$25:$C$27,info!$A$25:$A$27,data!A35,info!$B$25:$B$27,data!F35))*H35</f>
        <v>10111913</v>
      </c>
      <c r="N35" s="10">
        <f t="shared" si="16"/>
        <v>8089530.4000000004</v>
      </c>
      <c r="O35" s="10">
        <f t="shared" si="17"/>
        <v>1415667.82</v>
      </c>
      <c r="P35" s="10">
        <f t="shared" si="18"/>
        <v>1617906.08</v>
      </c>
      <c r="Q35" s="10">
        <f t="shared" si="19"/>
        <v>7078339.0999999996</v>
      </c>
      <c r="R35" s="10">
        <f t="shared" si="20"/>
        <v>5662671.2800000003</v>
      </c>
      <c r="S35" s="10">
        <f t="shared" si="21"/>
        <v>0</v>
      </c>
      <c r="T35" s="10">
        <f t="shared" si="39"/>
        <v>0</v>
      </c>
      <c r="U35" s="10">
        <f t="shared" si="39"/>
        <v>0</v>
      </c>
      <c r="V35" s="10">
        <f t="shared" si="39"/>
        <v>8421976.8547945209</v>
      </c>
      <c r="W35" s="10">
        <f t="shared" si="39"/>
        <v>5928628.4438356161</v>
      </c>
      <c r="X35" s="10">
        <f t="shared" si="39"/>
        <v>3407576.1616438357</v>
      </c>
      <c r="Y35" s="10">
        <f t="shared" si="39"/>
        <v>858820.00821917807</v>
      </c>
      <c r="Z35" s="10">
        <f t="shared" si="39"/>
        <v>0</v>
      </c>
      <c r="AA35" s="10"/>
      <c r="AB35" s="10"/>
      <c r="AC35">
        <f t="shared" si="38"/>
        <v>0</v>
      </c>
      <c r="AD35">
        <f t="shared" si="38"/>
        <v>0</v>
      </c>
      <c r="AE35">
        <f t="shared" si="38"/>
        <v>0</v>
      </c>
      <c r="AF35">
        <f t="shared" si="38"/>
        <v>0</v>
      </c>
      <c r="AG35">
        <f t="shared" si="38"/>
        <v>0</v>
      </c>
      <c r="AH35">
        <f t="shared" si="38"/>
        <v>0</v>
      </c>
      <c r="AI35">
        <f t="shared" si="38"/>
        <v>0</v>
      </c>
      <c r="AJ35">
        <f t="shared" si="38"/>
        <v>365</v>
      </c>
      <c r="AK35">
        <f t="shared" si="38"/>
        <v>335</v>
      </c>
      <c r="AL35">
        <f t="shared" si="38"/>
        <v>304</v>
      </c>
      <c r="AM35">
        <f t="shared" si="38"/>
        <v>273</v>
      </c>
      <c r="AN35">
        <f t="shared" si="38"/>
        <v>245</v>
      </c>
      <c r="AO35">
        <f t="shared" si="38"/>
        <v>214</v>
      </c>
      <c r="AP35">
        <f t="shared" si="38"/>
        <v>184</v>
      </c>
      <c r="AQ35">
        <f t="shared" si="38"/>
        <v>153</v>
      </c>
      <c r="AR35">
        <f t="shared" si="38"/>
        <v>123</v>
      </c>
      <c r="AS35">
        <f t="shared" si="37"/>
        <v>92</v>
      </c>
      <c r="AT35">
        <f t="shared" si="37"/>
        <v>61</v>
      </c>
      <c r="AU35">
        <f t="shared" si="37"/>
        <v>31</v>
      </c>
      <c r="AV35">
        <f t="shared" si="37"/>
        <v>0</v>
      </c>
      <c r="AW35">
        <f t="shared" si="37"/>
        <v>-30</v>
      </c>
      <c r="AX35">
        <f t="shared" si="37"/>
        <v>-61</v>
      </c>
      <c r="AY35">
        <f t="shared" si="3"/>
        <v>0</v>
      </c>
      <c r="AZ35">
        <f t="shared" si="4"/>
        <v>0</v>
      </c>
      <c r="BA35">
        <f t="shared" si="5"/>
        <v>0</v>
      </c>
      <c r="BB35">
        <f t="shared" si="6"/>
        <v>0</v>
      </c>
      <c r="BC35">
        <f t="shared" si="7"/>
        <v>0</v>
      </c>
      <c r="BD35">
        <f t="shared" si="8"/>
        <v>0</v>
      </c>
      <c r="BE35">
        <f t="shared" si="9"/>
        <v>0</v>
      </c>
      <c r="BF35">
        <f t="shared" si="10"/>
        <v>365</v>
      </c>
      <c r="BG35">
        <f t="shared" si="23"/>
        <v>335</v>
      </c>
      <c r="BH35">
        <f t="shared" si="24"/>
        <v>304</v>
      </c>
      <c r="BI35">
        <f t="shared" si="25"/>
        <v>273</v>
      </c>
      <c r="BJ35">
        <f t="shared" si="26"/>
        <v>245</v>
      </c>
      <c r="BK35">
        <f t="shared" si="27"/>
        <v>214</v>
      </c>
      <c r="BL35">
        <f t="shared" si="28"/>
        <v>184</v>
      </c>
      <c r="BM35">
        <f t="shared" si="29"/>
        <v>153</v>
      </c>
      <c r="BN35">
        <f t="shared" si="30"/>
        <v>123</v>
      </c>
      <c r="BO35">
        <f t="shared" si="31"/>
        <v>92</v>
      </c>
      <c r="BP35">
        <f t="shared" si="32"/>
        <v>61</v>
      </c>
      <c r="BQ35">
        <f t="shared" si="33"/>
        <v>31</v>
      </c>
      <c r="BR35">
        <f t="shared" si="34"/>
        <v>0</v>
      </c>
      <c r="BS35">
        <f t="shared" si="35"/>
        <v>0</v>
      </c>
      <c r="BT35">
        <f t="shared" si="36"/>
        <v>0</v>
      </c>
    </row>
    <row r="36" spans="1:72" ht="12.95" customHeight="1" x14ac:dyDescent="0.2">
      <c r="A36">
        <f t="shared" ref="A36:A99" si="40">YEAR(D36)</f>
        <v>2025</v>
      </c>
      <c r="B36">
        <f t="shared" si="13"/>
        <v>12</v>
      </c>
      <c r="C36">
        <f t="shared" si="14"/>
        <v>4</v>
      </c>
      <c r="D36" s="11">
        <f>prod!A33</f>
        <v>45992</v>
      </c>
      <c r="E36" s="11">
        <f t="shared" si="15"/>
        <v>46356</v>
      </c>
      <c r="F36" s="10" t="str">
        <f>prod!B33</f>
        <v>רכב רכוש</v>
      </c>
      <c r="G36" s="10" t="str">
        <f>prod!C33</f>
        <v xml:space="preserve">קסקו מקיף </v>
      </c>
      <c r="H36" s="10">
        <f>prod!D33</f>
        <v>9082928</v>
      </c>
      <c r="I36" s="10">
        <f>SUMIFS(info!C:C,info!$A:$A,data!$A36,info!$B:$B,data!$G36)</f>
        <v>0.14000000000000001</v>
      </c>
      <c r="J36" s="10">
        <f>SUMIFS(info!D:D,info!$A:$A,data!$A36,info!$B:$B,data!$G36)</f>
        <v>0.8</v>
      </c>
      <c r="K36" s="10">
        <f>SUMIFS(info!E:E,info!$A:$A,data!$A36,info!$B:$B,data!$G36)</f>
        <v>0.2</v>
      </c>
      <c r="L36" s="10">
        <f>SUMIFS(info!F:F,info!$A:$A,data!$A36,info!$B:$B,data!$G36)</f>
        <v>0.7</v>
      </c>
      <c r="M36" s="10">
        <f>IF(SUMIFS(info!$C$25:$C$27,info!$A$25:$A$27,data!A36,info!$B$25:$B$27,data!F36)&lt;=0,1,SUMIFS(info!$C$25:$C$27,info!$A$25:$A$27,data!A36,info!$B$25:$B$27,data!F36))*H36</f>
        <v>9082928</v>
      </c>
      <c r="N36" s="10">
        <f t="shared" si="16"/>
        <v>7266342.4000000004</v>
      </c>
      <c r="O36" s="10">
        <f t="shared" si="17"/>
        <v>1271609.9200000002</v>
      </c>
      <c r="P36" s="10">
        <f t="shared" si="18"/>
        <v>1453268.4800000002</v>
      </c>
      <c r="Q36" s="10">
        <f t="shared" si="19"/>
        <v>6358049.5999999996</v>
      </c>
      <c r="R36" s="10">
        <f t="shared" si="20"/>
        <v>5086439.68</v>
      </c>
      <c r="S36" s="10">
        <f t="shared" si="21"/>
        <v>0</v>
      </c>
      <c r="T36" s="10">
        <f t="shared" si="39"/>
        <v>0</v>
      </c>
      <c r="U36" s="10">
        <f t="shared" si="39"/>
        <v>0</v>
      </c>
      <c r="V36" s="10">
        <f t="shared" si="39"/>
        <v>8311501.2383561647</v>
      </c>
      <c r="W36" s="10">
        <f t="shared" si="39"/>
        <v>6071875.1561643835</v>
      </c>
      <c r="X36" s="10">
        <f t="shared" si="39"/>
        <v>3807364.3397260276</v>
      </c>
      <c r="Y36" s="10">
        <f t="shared" si="39"/>
        <v>1517968.7890410959</v>
      </c>
      <c r="Z36" s="10">
        <f t="shared" si="39"/>
        <v>0</v>
      </c>
      <c r="AA36" s="10"/>
      <c r="AB36" s="10"/>
      <c r="AC36">
        <f t="shared" si="38"/>
        <v>0</v>
      </c>
      <c r="AD36">
        <f t="shared" si="38"/>
        <v>0</v>
      </c>
      <c r="AE36">
        <f t="shared" si="38"/>
        <v>0</v>
      </c>
      <c r="AF36">
        <f t="shared" si="38"/>
        <v>0</v>
      </c>
      <c r="AG36">
        <f t="shared" si="38"/>
        <v>0</v>
      </c>
      <c r="AH36">
        <f t="shared" si="38"/>
        <v>0</v>
      </c>
      <c r="AI36">
        <f t="shared" si="38"/>
        <v>0</v>
      </c>
      <c r="AJ36">
        <f t="shared" si="38"/>
        <v>0</v>
      </c>
      <c r="AK36">
        <f t="shared" si="38"/>
        <v>365</v>
      </c>
      <c r="AL36">
        <f t="shared" si="38"/>
        <v>334</v>
      </c>
      <c r="AM36">
        <f t="shared" si="38"/>
        <v>303</v>
      </c>
      <c r="AN36">
        <f t="shared" si="38"/>
        <v>275</v>
      </c>
      <c r="AO36">
        <f t="shared" si="38"/>
        <v>244</v>
      </c>
      <c r="AP36">
        <f t="shared" si="38"/>
        <v>214</v>
      </c>
      <c r="AQ36">
        <f t="shared" si="38"/>
        <v>183</v>
      </c>
      <c r="AR36">
        <f t="shared" si="38"/>
        <v>153</v>
      </c>
      <c r="AS36">
        <f t="shared" ref="AS36:AX51" si="41">IF(($E36-AS$4)&gt;365,0,($E36-AS$4))</f>
        <v>122</v>
      </c>
      <c r="AT36">
        <f t="shared" si="41"/>
        <v>91</v>
      </c>
      <c r="AU36">
        <f t="shared" si="41"/>
        <v>61</v>
      </c>
      <c r="AV36">
        <f t="shared" si="41"/>
        <v>30</v>
      </c>
      <c r="AW36">
        <f t="shared" si="41"/>
        <v>0</v>
      </c>
      <c r="AX36">
        <f t="shared" si="41"/>
        <v>-31</v>
      </c>
      <c r="AY36">
        <f t="shared" si="3"/>
        <v>0</v>
      </c>
      <c r="AZ36">
        <f t="shared" si="4"/>
        <v>0</v>
      </c>
      <c r="BA36">
        <f t="shared" si="5"/>
        <v>0</v>
      </c>
      <c r="BB36">
        <f t="shared" si="6"/>
        <v>0</v>
      </c>
      <c r="BC36">
        <f t="shared" si="7"/>
        <v>0</v>
      </c>
      <c r="BD36">
        <f t="shared" si="8"/>
        <v>0</v>
      </c>
      <c r="BE36">
        <f t="shared" si="9"/>
        <v>0</v>
      </c>
      <c r="BF36">
        <f t="shared" si="10"/>
        <v>0</v>
      </c>
      <c r="BG36">
        <f t="shared" si="23"/>
        <v>365</v>
      </c>
      <c r="BH36">
        <f t="shared" si="24"/>
        <v>334</v>
      </c>
      <c r="BI36">
        <f t="shared" si="25"/>
        <v>303</v>
      </c>
      <c r="BJ36">
        <f t="shared" si="26"/>
        <v>275</v>
      </c>
      <c r="BK36">
        <f t="shared" si="27"/>
        <v>244</v>
      </c>
      <c r="BL36">
        <f t="shared" si="28"/>
        <v>214</v>
      </c>
      <c r="BM36">
        <f t="shared" si="29"/>
        <v>183</v>
      </c>
      <c r="BN36">
        <f t="shared" si="30"/>
        <v>153</v>
      </c>
      <c r="BO36">
        <f t="shared" si="31"/>
        <v>122</v>
      </c>
      <c r="BP36">
        <f t="shared" si="32"/>
        <v>91</v>
      </c>
      <c r="BQ36">
        <f t="shared" si="33"/>
        <v>61</v>
      </c>
      <c r="BR36">
        <f t="shared" si="34"/>
        <v>30</v>
      </c>
      <c r="BS36">
        <f t="shared" si="35"/>
        <v>0</v>
      </c>
      <c r="BT36">
        <f t="shared" si="36"/>
        <v>0</v>
      </c>
    </row>
    <row r="37" spans="1:72" ht="12.95" customHeight="1" x14ac:dyDescent="0.2">
      <c r="A37">
        <f t="shared" si="40"/>
        <v>2026</v>
      </c>
      <c r="B37">
        <f t="shared" si="13"/>
        <v>1</v>
      </c>
      <c r="C37">
        <f t="shared" si="14"/>
        <v>1</v>
      </c>
      <c r="D37" s="11">
        <f>prod!A34</f>
        <v>46023</v>
      </c>
      <c r="E37" s="11">
        <f t="shared" si="15"/>
        <v>46387</v>
      </c>
      <c r="F37" s="10" t="str">
        <f>prod!B34</f>
        <v>רכב רכוש</v>
      </c>
      <c r="G37" s="10" t="str">
        <f>prod!C34</f>
        <v xml:space="preserve">קסקו מקיף </v>
      </c>
      <c r="H37" s="10">
        <f>prod!D34</f>
        <v>6977208</v>
      </c>
      <c r="I37" s="10">
        <f>SUMIFS(info!C:C,info!$A:$A,data!$A37,info!$B:$B,data!$G37)</f>
        <v>0.14000000000000001</v>
      </c>
      <c r="J37" s="10">
        <f>SUMIFS(info!D:D,info!$A:$A,data!$A37,info!$B:$B,data!$G37)</f>
        <v>0.8</v>
      </c>
      <c r="K37" s="10">
        <f>SUMIFS(info!E:E,info!$A:$A,data!$A37,info!$B:$B,data!$G37)</f>
        <v>0.2</v>
      </c>
      <c r="L37" s="10">
        <f>SUMIFS(info!F:F,info!$A:$A,data!$A37,info!$B:$B,data!$G37)</f>
        <v>0.7</v>
      </c>
      <c r="M37" s="10">
        <f>IF(SUMIFS(info!$C$25:$C$27,info!$A$25:$A$27,data!A37,info!$B$25:$B$27,data!F37)&lt;=0,1,SUMIFS(info!$C$25:$C$27,info!$A$25:$A$27,data!A37,info!$B$25:$B$27,data!F37))*H37</f>
        <v>6977208</v>
      </c>
      <c r="N37" s="10">
        <f t="shared" si="16"/>
        <v>5581766.4000000004</v>
      </c>
      <c r="O37" s="10">
        <f t="shared" si="17"/>
        <v>976809.12000000011</v>
      </c>
      <c r="P37" s="10">
        <f t="shared" si="18"/>
        <v>1116353.28</v>
      </c>
      <c r="Q37" s="10">
        <f t="shared" si="19"/>
        <v>4884045.5999999996</v>
      </c>
      <c r="R37" s="10">
        <f t="shared" si="20"/>
        <v>3907236.48</v>
      </c>
      <c r="S37" s="10">
        <f t="shared" si="21"/>
        <v>0</v>
      </c>
      <c r="T37" s="10">
        <f t="shared" si="39"/>
        <v>0</v>
      </c>
      <c r="U37" s="10">
        <f t="shared" si="39"/>
        <v>0</v>
      </c>
      <c r="V37" s="10">
        <f t="shared" si="39"/>
        <v>0</v>
      </c>
      <c r="W37" s="10">
        <f t="shared" si="39"/>
        <v>5256800.5479452051</v>
      </c>
      <c r="X37" s="10">
        <f t="shared" si="39"/>
        <v>3517277.4575342466</v>
      </c>
      <c r="Y37" s="10">
        <f t="shared" si="39"/>
        <v>1758638.7287671233</v>
      </c>
      <c r="Z37" s="10">
        <f t="shared" si="39"/>
        <v>0</v>
      </c>
      <c r="AA37" s="10"/>
      <c r="AB37" s="10"/>
      <c r="AC37">
        <f t="shared" si="38"/>
        <v>0</v>
      </c>
      <c r="AD37">
        <f t="shared" si="38"/>
        <v>0</v>
      </c>
      <c r="AE37">
        <f t="shared" si="38"/>
        <v>0</v>
      </c>
      <c r="AF37">
        <f t="shared" si="38"/>
        <v>0</v>
      </c>
      <c r="AG37">
        <f t="shared" si="38"/>
        <v>0</v>
      </c>
      <c r="AH37">
        <f t="shared" si="38"/>
        <v>0</v>
      </c>
      <c r="AI37">
        <f t="shared" si="38"/>
        <v>0</v>
      </c>
      <c r="AJ37">
        <f t="shared" si="38"/>
        <v>0</v>
      </c>
      <c r="AK37">
        <f t="shared" si="38"/>
        <v>0</v>
      </c>
      <c r="AL37">
        <f t="shared" si="38"/>
        <v>365</v>
      </c>
      <c r="AM37">
        <f t="shared" si="38"/>
        <v>334</v>
      </c>
      <c r="AN37">
        <f t="shared" si="38"/>
        <v>306</v>
      </c>
      <c r="AO37">
        <f t="shared" si="38"/>
        <v>275</v>
      </c>
      <c r="AP37">
        <f t="shared" si="38"/>
        <v>245</v>
      </c>
      <c r="AQ37">
        <f t="shared" si="38"/>
        <v>214</v>
      </c>
      <c r="AR37">
        <f t="shared" ref="AR37:AX52" si="42">IF(($E37-AR$4)&gt;365,0,($E37-AR$4))</f>
        <v>184</v>
      </c>
      <c r="AS37">
        <f t="shared" si="41"/>
        <v>153</v>
      </c>
      <c r="AT37">
        <f t="shared" si="41"/>
        <v>122</v>
      </c>
      <c r="AU37">
        <f t="shared" si="41"/>
        <v>92</v>
      </c>
      <c r="AV37">
        <f t="shared" si="41"/>
        <v>61</v>
      </c>
      <c r="AW37">
        <f t="shared" si="41"/>
        <v>31</v>
      </c>
      <c r="AX37">
        <f t="shared" si="41"/>
        <v>0</v>
      </c>
      <c r="AY37">
        <f t="shared" ref="AY37:AY68" si="43">IF(AC37&lt;0,0,AC37)</f>
        <v>0</v>
      </c>
      <c r="AZ37">
        <f t="shared" ref="AZ37:AZ68" si="44">IF(AD37&lt;0,0,AD37)</f>
        <v>0</v>
      </c>
      <c r="BA37">
        <f t="shared" ref="BA37:BA68" si="45">IF(AE37&lt;0,0,AE37)</f>
        <v>0</v>
      </c>
      <c r="BB37">
        <f t="shared" ref="BB37:BB68" si="46">IF(AF37&lt;0,0,AF37)</f>
        <v>0</v>
      </c>
      <c r="BC37">
        <f t="shared" ref="BC37:BC68" si="47">IF(AG37&lt;0,0,AG37)</f>
        <v>0</v>
      </c>
      <c r="BD37">
        <f t="shared" ref="BD37:BD68" si="48">IF(AH37&lt;0,0,AH37)</f>
        <v>0</v>
      </c>
      <c r="BE37">
        <f t="shared" ref="BE37:BE68" si="49">IF(AI37&lt;0,0,AI37)</f>
        <v>0</v>
      </c>
      <c r="BF37">
        <f t="shared" ref="BF37:BF68" si="50">IF(AJ37&lt;0,0,AJ37)</f>
        <v>0</v>
      </c>
      <c r="BG37">
        <f t="shared" si="23"/>
        <v>0</v>
      </c>
      <c r="BH37">
        <f t="shared" si="24"/>
        <v>365</v>
      </c>
      <c r="BI37">
        <f t="shared" si="25"/>
        <v>334</v>
      </c>
      <c r="BJ37">
        <f t="shared" si="26"/>
        <v>306</v>
      </c>
      <c r="BK37">
        <f t="shared" si="27"/>
        <v>275</v>
      </c>
      <c r="BL37">
        <f t="shared" si="28"/>
        <v>245</v>
      </c>
      <c r="BM37">
        <f t="shared" si="29"/>
        <v>214</v>
      </c>
      <c r="BN37">
        <f t="shared" si="30"/>
        <v>184</v>
      </c>
      <c r="BO37">
        <f t="shared" si="31"/>
        <v>153</v>
      </c>
      <c r="BP37">
        <f t="shared" si="32"/>
        <v>122</v>
      </c>
      <c r="BQ37">
        <f t="shared" si="33"/>
        <v>92</v>
      </c>
      <c r="BR37">
        <f t="shared" si="34"/>
        <v>61</v>
      </c>
      <c r="BS37">
        <f t="shared" si="35"/>
        <v>31</v>
      </c>
      <c r="BT37">
        <f t="shared" si="36"/>
        <v>0</v>
      </c>
    </row>
    <row r="38" spans="1:72" ht="12.95" customHeight="1" x14ac:dyDescent="0.2">
      <c r="A38">
        <f t="shared" si="40"/>
        <v>2026</v>
      </c>
      <c r="B38">
        <f t="shared" si="13"/>
        <v>2</v>
      </c>
      <c r="C38">
        <f t="shared" si="14"/>
        <v>1</v>
      </c>
      <c r="D38" s="11">
        <f>prod!A35</f>
        <v>46054</v>
      </c>
      <c r="E38" s="11">
        <f t="shared" si="15"/>
        <v>46418</v>
      </c>
      <c r="F38" s="10" t="str">
        <f>prod!B35</f>
        <v>רכב רכוש</v>
      </c>
      <c r="G38" s="10" t="str">
        <f>prod!C35</f>
        <v xml:space="preserve">קסקו מקיף </v>
      </c>
      <c r="H38" s="10">
        <f>prod!D35</f>
        <v>6708744</v>
      </c>
      <c r="I38" s="10">
        <f>SUMIFS(info!C:C,info!$A:$A,data!$A38,info!$B:$B,data!$G38)</f>
        <v>0.14000000000000001</v>
      </c>
      <c r="J38" s="10">
        <f>SUMIFS(info!D:D,info!$A:$A,data!$A38,info!$B:$B,data!$G38)</f>
        <v>0.8</v>
      </c>
      <c r="K38" s="10">
        <f>SUMIFS(info!E:E,info!$A:$A,data!$A38,info!$B:$B,data!$G38)</f>
        <v>0.2</v>
      </c>
      <c r="L38" s="10">
        <f>SUMIFS(info!F:F,info!$A:$A,data!$A38,info!$B:$B,data!$G38)</f>
        <v>0.7</v>
      </c>
      <c r="M38" s="10">
        <f>IF(SUMIFS(info!$C$25:$C$27,info!$A$25:$A$27,data!A38,info!$B$25:$B$27,data!F38)&lt;=0,1,SUMIFS(info!$C$25:$C$27,info!$A$25:$A$27,data!A38,info!$B$25:$B$27,data!F38))*H38</f>
        <v>6708744</v>
      </c>
      <c r="N38" s="10">
        <f t="shared" si="16"/>
        <v>5366995.2</v>
      </c>
      <c r="O38" s="10">
        <f t="shared" si="17"/>
        <v>939224.16</v>
      </c>
      <c r="P38" s="10">
        <f t="shared" si="18"/>
        <v>1073399.04</v>
      </c>
      <c r="Q38" s="10">
        <f t="shared" si="19"/>
        <v>4696120.8</v>
      </c>
      <c r="R38" s="10">
        <f t="shared" si="20"/>
        <v>3756896.64</v>
      </c>
      <c r="S38" s="10">
        <f t="shared" si="21"/>
        <v>0</v>
      </c>
      <c r="T38" s="10">
        <f t="shared" si="39"/>
        <v>0</v>
      </c>
      <c r="U38" s="10">
        <f t="shared" si="39"/>
        <v>0</v>
      </c>
      <c r="V38" s="10">
        <f t="shared" si="39"/>
        <v>0</v>
      </c>
      <c r="W38" s="10">
        <f t="shared" si="39"/>
        <v>5624316.8876712332</v>
      </c>
      <c r="X38" s="10">
        <f t="shared" si="39"/>
        <v>3951725.9178082193</v>
      </c>
      <c r="Y38" s="10">
        <f t="shared" si="39"/>
        <v>2260754.8273972603</v>
      </c>
      <c r="Z38" s="10">
        <f t="shared" si="39"/>
        <v>569783.73698630137</v>
      </c>
      <c r="AA38" s="10"/>
      <c r="AB38" s="10"/>
      <c r="AC38">
        <f t="shared" ref="AC38:AR53" si="51">IF(($E38-AC$4)&gt;365,0,($E38-AC$4))</f>
        <v>0</v>
      </c>
      <c r="AD38">
        <f t="shared" si="51"/>
        <v>0</v>
      </c>
      <c r="AE38">
        <f t="shared" si="51"/>
        <v>0</v>
      </c>
      <c r="AF38">
        <f t="shared" si="51"/>
        <v>0</v>
      </c>
      <c r="AG38">
        <f t="shared" si="51"/>
        <v>0</v>
      </c>
      <c r="AH38">
        <f t="shared" si="51"/>
        <v>0</v>
      </c>
      <c r="AI38">
        <f t="shared" si="51"/>
        <v>0</v>
      </c>
      <c r="AJ38">
        <f t="shared" si="51"/>
        <v>0</v>
      </c>
      <c r="AK38">
        <f t="shared" si="51"/>
        <v>0</v>
      </c>
      <c r="AL38">
        <f t="shared" si="51"/>
        <v>0</v>
      </c>
      <c r="AM38">
        <f t="shared" si="51"/>
        <v>365</v>
      </c>
      <c r="AN38">
        <f t="shared" si="51"/>
        <v>337</v>
      </c>
      <c r="AO38">
        <f t="shared" si="51"/>
        <v>306</v>
      </c>
      <c r="AP38">
        <f t="shared" si="51"/>
        <v>276</v>
      </c>
      <c r="AQ38">
        <f t="shared" si="51"/>
        <v>245</v>
      </c>
      <c r="AR38">
        <f t="shared" si="42"/>
        <v>215</v>
      </c>
      <c r="AS38">
        <f t="shared" si="41"/>
        <v>184</v>
      </c>
      <c r="AT38">
        <f t="shared" si="41"/>
        <v>153</v>
      </c>
      <c r="AU38">
        <f t="shared" si="41"/>
        <v>123</v>
      </c>
      <c r="AV38">
        <f t="shared" si="41"/>
        <v>92</v>
      </c>
      <c r="AW38">
        <f t="shared" si="41"/>
        <v>62</v>
      </c>
      <c r="AX38">
        <f t="shared" si="41"/>
        <v>31</v>
      </c>
      <c r="AY38">
        <f t="shared" si="43"/>
        <v>0</v>
      </c>
      <c r="AZ38">
        <f t="shared" si="44"/>
        <v>0</v>
      </c>
      <c r="BA38">
        <f t="shared" si="45"/>
        <v>0</v>
      </c>
      <c r="BB38">
        <f t="shared" si="46"/>
        <v>0</v>
      </c>
      <c r="BC38">
        <f t="shared" si="47"/>
        <v>0</v>
      </c>
      <c r="BD38">
        <f t="shared" si="48"/>
        <v>0</v>
      </c>
      <c r="BE38">
        <f t="shared" si="49"/>
        <v>0</v>
      </c>
      <c r="BF38">
        <f t="shared" si="50"/>
        <v>0</v>
      </c>
      <c r="BG38">
        <f t="shared" si="23"/>
        <v>0</v>
      </c>
      <c r="BH38">
        <f t="shared" si="24"/>
        <v>0</v>
      </c>
      <c r="BI38">
        <f t="shared" si="25"/>
        <v>365</v>
      </c>
      <c r="BJ38">
        <f t="shared" si="26"/>
        <v>337</v>
      </c>
      <c r="BK38">
        <f t="shared" si="27"/>
        <v>306</v>
      </c>
      <c r="BL38">
        <f t="shared" si="28"/>
        <v>276</v>
      </c>
      <c r="BM38">
        <f t="shared" si="29"/>
        <v>245</v>
      </c>
      <c r="BN38">
        <f t="shared" si="30"/>
        <v>215</v>
      </c>
      <c r="BO38">
        <f t="shared" si="31"/>
        <v>184</v>
      </c>
      <c r="BP38">
        <f t="shared" si="32"/>
        <v>153</v>
      </c>
      <c r="BQ38">
        <f t="shared" si="33"/>
        <v>123</v>
      </c>
      <c r="BR38">
        <f t="shared" si="34"/>
        <v>92</v>
      </c>
      <c r="BS38">
        <f t="shared" si="35"/>
        <v>62</v>
      </c>
      <c r="BT38">
        <f t="shared" si="36"/>
        <v>31</v>
      </c>
    </row>
    <row r="39" spans="1:72" ht="12.95" customHeight="1" x14ac:dyDescent="0.2">
      <c r="A39">
        <f t="shared" si="40"/>
        <v>2026</v>
      </c>
      <c r="B39">
        <f t="shared" si="13"/>
        <v>3</v>
      </c>
      <c r="C39">
        <f t="shared" si="14"/>
        <v>1</v>
      </c>
      <c r="D39" s="11">
        <f>prod!A36</f>
        <v>46082</v>
      </c>
      <c r="E39" s="11">
        <f t="shared" si="15"/>
        <v>46446</v>
      </c>
      <c r="F39" s="10" t="str">
        <f>prod!B36</f>
        <v>רכב רכוש</v>
      </c>
      <c r="G39" s="10" t="str">
        <f>prod!C36</f>
        <v xml:space="preserve">קסקו מקיף </v>
      </c>
      <c r="H39" s="10">
        <f>prod!D36</f>
        <v>7007665</v>
      </c>
      <c r="I39" s="10">
        <f>SUMIFS(info!C:C,info!$A:$A,data!$A39,info!$B:$B,data!$G39)</f>
        <v>0.14000000000000001</v>
      </c>
      <c r="J39" s="10">
        <f>SUMIFS(info!D:D,info!$A:$A,data!$A39,info!$B:$B,data!$G39)</f>
        <v>0.8</v>
      </c>
      <c r="K39" s="10">
        <f>SUMIFS(info!E:E,info!$A:$A,data!$A39,info!$B:$B,data!$G39)</f>
        <v>0.2</v>
      </c>
      <c r="L39" s="10">
        <f>SUMIFS(info!F:F,info!$A:$A,data!$A39,info!$B:$B,data!$G39)</f>
        <v>0.7</v>
      </c>
      <c r="M39" s="10">
        <f>IF(SUMIFS(info!$C$25:$C$27,info!$A$25:$A$27,data!A39,info!$B$25:$B$27,data!F39)&lt;=0,1,SUMIFS(info!$C$25:$C$27,info!$A$25:$A$27,data!A39,info!$B$25:$B$27,data!F39))*H39</f>
        <v>7007665</v>
      </c>
      <c r="N39" s="10">
        <f t="shared" si="16"/>
        <v>5606132</v>
      </c>
      <c r="O39" s="10">
        <f t="shared" si="17"/>
        <v>981073.10000000009</v>
      </c>
      <c r="P39" s="10">
        <f t="shared" si="18"/>
        <v>1121226.4000000001</v>
      </c>
      <c r="Q39" s="10">
        <f t="shared" si="19"/>
        <v>4905365.5</v>
      </c>
      <c r="R39" s="10">
        <f t="shared" si="20"/>
        <v>3924292.4000000004</v>
      </c>
      <c r="S39" s="10">
        <f t="shared" si="21"/>
        <v>0</v>
      </c>
      <c r="T39" s="10">
        <f t="shared" si="39"/>
        <v>0</v>
      </c>
      <c r="U39" s="10">
        <f t="shared" si="39"/>
        <v>0</v>
      </c>
      <c r="V39" s="10">
        <f t="shared" si="39"/>
        <v>0</v>
      </c>
      <c r="W39" s="10">
        <f t="shared" si="39"/>
        <v>6412493.4520547949</v>
      </c>
      <c r="X39" s="10">
        <f t="shared" si="39"/>
        <v>4665376.9726027399</v>
      </c>
      <c r="Y39" s="10">
        <f t="shared" si="39"/>
        <v>2899061.4109589043</v>
      </c>
      <c r="Z39" s="10">
        <f t="shared" si="39"/>
        <v>1132745.8493150685</v>
      </c>
      <c r="AA39" s="10"/>
      <c r="AB39" s="10"/>
      <c r="AC39">
        <f t="shared" si="51"/>
        <v>0</v>
      </c>
      <c r="AD39">
        <f t="shared" si="51"/>
        <v>0</v>
      </c>
      <c r="AE39">
        <f t="shared" si="51"/>
        <v>0</v>
      </c>
      <c r="AF39">
        <f t="shared" si="51"/>
        <v>0</v>
      </c>
      <c r="AG39">
        <f t="shared" si="51"/>
        <v>0</v>
      </c>
      <c r="AH39">
        <f t="shared" si="51"/>
        <v>0</v>
      </c>
      <c r="AI39">
        <f t="shared" si="51"/>
        <v>0</v>
      </c>
      <c r="AJ39">
        <f t="shared" si="51"/>
        <v>0</v>
      </c>
      <c r="AK39">
        <f t="shared" si="51"/>
        <v>0</v>
      </c>
      <c r="AL39">
        <f t="shared" si="51"/>
        <v>0</v>
      </c>
      <c r="AM39">
        <f t="shared" si="51"/>
        <v>0</v>
      </c>
      <c r="AN39">
        <f t="shared" si="51"/>
        <v>365</v>
      </c>
      <c r="AO39">
        <f t="shared" si="51"/>
        <v>334</v>
      </c>
      <c r="AP39">
        <f t="shared" si="51"/>
        <v>304</v>
      </c>
      <c r="AQ39">
        <f t="shared" si="51"/>
        <v>273</v>
      </c>
      <c r="AR39">
        <f t="shared" si="42"/>
        <v>243</v>
      </c>
      <c r="AS39">
        <f t="shared" si="41"/>
        <v>212</v>
      </c>
      <c r="AT39">
        <f t="shared" si="41"/>
        <v>181</v>
      </c>
      <c r="AU39">
        <f t="shared" si="41"/>
        <v>151</v>
      </c>
      <c r="AV39">
        <f t="shared" si="41"/>
        <v>120</v>
      </c>
      <c r="AW39">
        <f t="shared" si="41"/>
        <v>90</v>
      </c>
      <c r="AX39">
        <f t="shared" si="41"/>
        <v>59</v>
      </c>
      <c r="AY39">
        <f t="shared" si="43"/>
        <v>0</v>
      </c>
      <c r="AZ39">
        <f t="shared" si="44"/>
        <v>0</v>
      </c>
      <c r="BA39">
        <f t="shared" si="45"/>
        <v>0</v>
      </c>
      <c r="BB39">
        <f t="shared" si="46"/>
        <v>0</v>
      </c>
      <c r="BC39">
        <f t="shared" si="47"/>
        <v>0</v>
      </c>
      <c r="BD39">
        <f t="shared" si="48"/>
        <v>0</v>
      </c>
      <c r="BE39">
        <f t="shared" si="49"/>
        <v>0</v>
      </c>
      <c r="BF39">
        <f t="shared" si="50"/>
        <v>0</v>
      </c>
      <c r="BG39">
        <f t="shared" si="23"/>
        <v>0</v>
      </c>
      <c r="BH39">
        <f t="shared" si="24"/>
        <v>0</v>
      </c>
      <c r="BI39">
        <f t="shared" si="25"/>
        <v>0</v>
      </c>
      <c r="BJ39">
        <f t="shared" si="26"/>
        <v>365</v>
      </c>
      <c r="BK39">
        <f t="shared" si="27"/>
        <v>334</v>
      </c>
      <c r="BL39">
        <f t="shared" si="28"/>
        <v>304</v>
      </c>
      <c r="BM39">
        <f t="shared" si="29"/>
        <v>273</v>
      </c>
      <c r="BN39">
        <f t="shared" si="30"/>
        <v>243</v>
      </c>
      <c r="BO39">
        <f t="shared" si="31"/>
        <v>212</v>
      </c>
      <c r="BP39">
        <f t="shared" si="32"/>
        <v>181</v>
      </c>
      <c r="BQ39">
        <f t="shared" si="33"/>
        <v>151</v>
      </c>
      <c r="BR39">
        <f t="shared" si="34"/>
        <v>120</v>
      </c>
      <c r="BS39">
        <f t="shared" si="35"/>
        <v>90</v>
      </c>
      <c r="BT39">
        <f t="shared" si="36"/>
        <v>59</v>
      </c>
    </row>
    <row r="40" spans="1:72" ht="12.95" customHeight="1" x14ac:dyDescent="0.2">
      <c r="A40">
        <f t="shared" si="40"/>
        <v>2026</v>
      </c>
      <c r="B40">
        <f t="shared" si="13"/>
        <v>4</v>
      </c>
      <c r="C40">
        <f t="shared" si="14"/>
        <v>2</v>
      </c>
      <c r="D40" s="11">
        <f>prod!A37</f>
        <v>46113</v>
      </c>
      <c r="E40" s="11">
        <f t="shared" si="15"/>
        <v>46477</v>
      </c>
      <c r="F40" s="10" t="str">
        <f>prod!B37</f>
        <v>רכב רכוש</v>
      </c>
      <c r="G40" s="10" t="str">
        <f>prod!C37</f>
        <v xml:space="preserve">קסקו מקיף </v>
      </c>
      <c r="H40" s="10">
        <f>prod!D37</f>
        <v>7004424</v>
      </c>
      <c r="I40" s="10">
        <f>SUMIFS(info!C:C,info!$A:$A,data!$A40,info!$B:$B,data!$G40)</f>
        <v>0.14000000000000001</v>
      </c>
      <c r="J40" s="10">
        <f>SUMIFS(info!D:D,info!$A:$A,data!$A40,info!$B:$B,data!$G40)</f>
        <v>0.8</v>
      </c>
      <c r="K40" s="10">
        <f>SUMIFS(info!E:E,info!$A:$A,data!$A40,info!$B:$B,data!$G40)</f>
        <v>0.2</v>
      </c>
      <c r="L40" s="10">
        <f>SUMIFS(info!F:F,info!$A:$A,data!$A40,info!$B:$B,data!$G40)</f>
        <v>0.7</v>
      </c>
      <c r="M40" s="10">
        <f>IF(SUMIFS(info!$C$25:$C$27,info!$A$25:$A$27,data!A40,info!$B$25:$B$27,data!F40)&lt;=0,1,SUMIFS(info!$C$25:$C$27,info!$A$25:$A$27,data!A40,info!$B$25:$B$27,data!F40))*H40</f>
        <v>7004424</v>
      </c>
      <c r="N40" s="10">
        <f t="shared" si="16"/>
        <v>5603539.2000000002</v>
      </c>
      <c r="O40" s="10">
        <f t="shared" si="17"/>
        <v>980619.3600000001</v>
      </c>
      <c r="P40" s="10">
        <f t="shared" si="18"/>
        <v>1120707.8400000001</v>
      </c>
      <c r="Q40" s="10">
        <f t="shared" si="19"/>
        <v>4903096.8</v>
      </c>
      <c r="R40" s="10">
        <f t="shared" si="20"/>
        <v>3922477.44</v>
      </c>
      <c r="S40" s="10">
        <f t="shared" si="21"/>
        <v>0</v>
      </c>
      <c r="T40" s="10">
        <f t="shared" si="39"/>
        <v>0</v>
      </c>
      <c r="U40" s="10">
        <f t="shared" si="39"/>
        <v>0</v>
      </c>
      <c r="V40" s="10">
        <f t="shared" si="39"/>
        <v>0</v>
      </c>
      <c r="W40" s="10">
        <f t="shared" si="39"/>
        <v>0</v>
      </c>
      <c r="X40" s="10">
        <f t="shared" si="39"/>
        <v>5258115.5506849317</v>
      </c>
      <c r="Y40" s="10">
        <f t="shared" si="39"/>
        <v>3492616.8986301371</v>
      </c>
      <c r="Z40" s="10">
        <f t="shared" si="39"/>
        <v>1727118.2465753425</v>
      </c>
      <c r="AA40" s="10"/>
      <c r="AB40" s="10"/>
      <c r="AC40">
        <f t="shared" si="51"/>
        <v>0</v>
      </c>
      <c r="AD40">
        <f t="shared" si="51"/>
        <v>0</v>
      </c>
      <c r="AE40">
        <f t="shared" si="51"/>
        <v>0</v>
      </c>
      <c r="AF40">
        <f t="shared" si="51"/>
        <v>0</v>
      </c>
      <c r="AG40">
        <f t="shared" si="51"/>
        <v>0</v>
      </c>
      <c r="AH40">
        <f t="shared" si="51"/>
        <v>0</v>
      </c>
      <c r="AI40">
        <f t="shared" si="51"/>
        <v>0</v>
      </c>
      <c r="AJ40">
        <f t="shared" si="51"/>
        <v>0</v>
      </c>
      <c r="AK40">
        <f t="shared" si="51"/>
        <v>0</v>
      </c>
      <c r="AL40">
        <f t="shared" si="51"/>
        <v>0</v>
      </c>
      <c r="AM40">
        <f t="shared" si="51"/>
        <v>0</v>
      </c>
      <c r="AN40">
        <f t="shared" si="51"/>
        <v>0</v>
      </c>
      <c r="AO40">
        <f t="shared" si="51"/>
        <v>365</v>
      </c>
      <c r="AP40">
        <f t="shared" si="51"/>
        <v>335</v>
      </c>
      <c r="AQ40">
        <f t="shared" si="51"/>
        <v>304</v>
      </c>
      <c r="AR40">
        <f t="shared" si="42"/>
        <v>274</v>
      </c>
      <c r="AS40">
        <f t="shared" si="41"/>
        <v>243</v>
      </c>
      <c r="AT40">
        <f t="shared" si="41"/>
        <v>212</v>
      </c>
      <c r="AU40">
        <f t="shared" si="41"/>
        <v>182</v>
      </c>
      <c r="AV40">
        <f t="shared" si="41"/>
        <v>151</v>
      </c>
      <c r="AW40">
        <f t="shared" si="41"/>
        <v>121</v>
      </c>
      <c r="AX40">
        <f t="shared" si="41"/>
        <v>90</v>
      </c>
      <c r="AY40">
        <f t="shared" si="43"/>
        <v>0</v>
      </c>
      <c r="AZ40">
        <f t="shared" si="44"/>
        <v>0</v>
      </c>
      <c r="BA40">
        <f t="shared" si="45"/>
        <v>0</v>
      </c>
      <c r="BB40">
        <f t="shared" si="46"/>
        <v>0</v>
      </c>
      <c r="BC40">
        <f t="shared" si="47"/>
        <v>0</v>
      </c>
      <c r="BD40">
        <f t="shared" si="48"/>
        <v>0</v>
      </c>
      <c r="BE40">
        <f t="shared" si="49"/>
        <v>0</v>
      </c>
      <c r="BF40">
        <f t="shared" si="50"/>
        <v>0</v>
      </c>
      <c r="BG40">
        <f t="shared" si="23"/>
        <v>0</v>
      </c>
      <c r="BH40">
        <f t="shared" si="24"/>
        <v>0</v>
      </c>
      <c r="BI40">
        <f t="shared" si="25"/>
        <v>0</v>
      </c>
      <c r="BJ40">
        <f t="shared" si="26"/>
        <v>0</v>
      </c>
      <c r="BK40">
        <f t="shared" si="27"/>
        <v>365</v>
      </c>
      <c r="BL40">
        <f t="shared" si="28"/>
        <v>335</v>
      </c>
      <c r="BM40">
        <f t="shared" si="29"/>
        <v>304</v>
      </c>
      <c r="BN40">
        <f t="shared" si="30"/>
        <v>274</v>
      </c>
      <c r="BO40">
        <f t="shared" si="31"/>
        <v>243</v>
      </c>
      <c r="BP40">
        <f t="shared" si="32"/>
        <v>212</v>
      </c>
      <c r="BQ40">
        <f t="shared" si="33"/>
        <v>182</v>
      </c>
      <c r="BR40">
        <f t="shared" si="34"/>
        <v>151</v>
      </c>
      <c r="BS40">
        <f t="shared" si="35"/>
        <v>121</v>
      </c>
      <c r="BT40">
        <f t="shared" si="36"/>
        <v>90</v>
      </c>
    </row>
    <row r="41" spans="1:72" ht="12.95" customHeight="1" x14ac:dyDescent="0.2">
      <c r="A41">
        <f t="shared" si="40"/>
        <v>2026</v>
      </c>
      <c r="B41">
        <f t="shared" si="13"/>
        <v>5</v>
      </c>
      <c r="C41">
        <f t="shared" si="14"/>
        <v>2</v>
      </c>
      <c r="D41" s="11">
        <f>prod!A38</f>
        <v>46143</v>
      </c>
      <c r="E41" s="11">
        <f t="shared" si="15"/>
        <v>46507</v>
      </c>
      <c r="F41" s="10" t="str">
        <f>prod!B38</f>
        <v>רכב רכוש</v>
      </c>
      <c r="G41" s="10" t="str">
        <f>prod!C38</f>
        <v xml:space="preserve">קסקו מקיף </v>
      </c>
      <c r="H41" s="10">
        <f>prod!D38</f>
        <v>7998480</v>
      </c>
      <c r="I41" s="10">
        <f>SUMIFS(info!C:C,info!$A:$A,data!$A41,info!$B:$B,data!$G41)</f>
        <v>0.14000000000000001</v>
      </c>
      <c r="J41" s="10">
        <f>SUMIFS(info!D:D,info!$A:$A,data!$A41,info!$B:$B,data!$G41)</f>
        <v>0.8</v>
      </c>
      <c r="K41" s="10">
        <f>SUMIFS(info!E:E,info!$A:$A,data!$A41,info!$B:$B,data!$G41)</f>
        <v>0.2</v>
      </c>
      <c r="L41" s="10">
        <f>SUMIFS(info!F:F,info!$A:$A,data!$A41,info!$B:$B,data!$G41)</f>
        <v>0.7</v>
      </c>
      <c r="M41" s="10">
        <f>IF(SUMIFS(info!$C$25:$C$27,info!$A$25:$A$27,data!A41,info!$B$25:$B$27,data!F41)&lt;=0,1,SUMIFS(info!$C$25:$C$27,info!$A$25:$A$27,data!A41,info!$B$25:$B$27,data!F41))*H41</f>
        <v>7998480</v>
      </c>
      <c r="N41" s="10">
        <f t="shared" si="16"/>
        <v>6398784</v>
      </c>
      <c r="O41" s="10">
        <f t="shared" si="17"/>
        <v>1119787.2000000002</v>
      </c>
      <c r="P41" s="10">
        <f t="shared" si="18"/>
        <v>1279756.8</v>
      </c>
      <c r="Q41" s="10">
        <f t="shared" si="19"/>
        <v>5598936</v>
      </c>
      <c r="R41" s="10">
        <f t="shared" si="20"/>
        <v>4479148.8</v>
      </c>
      <c r="S41" s="10">
        <f t="shared" si="21"/>
        <v>0</v>
      </c>
      <c r="T41" s="10">
        <f t="shared" si="39"/>
        <v>0</v>
      </c>
      <c r="U41" s="10">
        <f t="shared" si="39"/>
        <v>0</v>
      </c>
      <c r="V41" s="10">
        <f t="shared" si="39"/>
        <v>0</v>
      </c>
      <c r="W41" s="10">
        <f t="shared" si="39"/>
        <v>0</v>
      </c>
      <c r="X41" s="10">
        <f t="shared" si="39"/>
        <v>6661747.7260273974</v>
      </c>
      <c r="Y41" s="10">
        <f t="shared" si="39"/>
        <v>4645692.493150685</v>
      </c>
      <c r="Z41" s="10">
        <f t="shared" si="39"/>
        <v>2629637.2602739725</v>
      </c>
      <c r="AA41" s="10"/>
      <c r="AB41" s="10"/>
      <c r="AC41">
        <f t="shared" si="51"/>
        <v>0</v>
      </c>
      <c r="AD41">
        <f t="shared" si="51"/>
        <v>0</v>
      </c>
      <c r="AE41">
        <f t="shared" si="51"/>
        <v>0</v>
      </c>
      <c r="AF41">
        <f t="shared" si="51"/>
        <v>0</v>
      </c>
      <c r="AG41">
        <f t="shared" si="51"/>
        <v>0</v>
      </c>
      <c r="AH41">
        <f t="shared" si="51"/>
        <v>0</v>
      </c>
      <c r="AI41">
        <f t="shared" si="51"/>
        <v>0</v>
      </c>
      <c r="AJ41">
        <f t="shared" si="51"/>
        <v>0</v>
      </c>
      <c r="AK41">
        <f t="shared" si="51"/>
        <v>0</v>
      </c>
      <c r="AL41">
        <f t="shared" si="51"/>
        <v>0</v>
      </c>
      <c r="AM41">
        <f t="shared" si="51"/>
        <v>0</v>
      </c>
      <c r="AN41">
        <f t="shared" si="51"/>
        <v>0</v>
      </c>
      <c r="AO41">
        <f t="shared" si="51"/>
        <v>0</v>
      </c>
      <c r="AP41">
        <f t="shared" si="51"/>
        <v>365</v>
      </c>
      <c r="AQ41">
        <f t="shared" si="51"/>
        <v>334</v>
      </c>
      <c r="AR41">
        <f t="shared" si="42"/>
        <v>304</v>
      </c>
      <c r="AS41">
        <f t="shared" si="41"/>
        <v>273</v>
      </c>
      <c r="AT41">
        <f t="shared" si="41"/>
        <v>242</v>
      </c>
      <c r="AU41">
        <f t="shared" si="41"/>
        <v>212</v>
      </c>
      <c r="AV41">
        <f t="shared" si="41"/>
        <v>181</v>
      </c>
      <c r="AW41">
        <f t="shared" si="41"/>
        <v>151</v>
      </c>
      <c r="AX41">
        <f t="shared" si="41"/>
        <v>120</v>
      </c>
      <c r="AY41">
        <f t="shared" si="43"/>
        <v>0</v>
      </c>
      <c r="AZ41">
        <f t="shared" si="44"/>
        <v>0</v>
      </c>
      <c r="BA41">
        <f t="shared" si="45"/>
        <v>0</v>
      </c>
      <c r="BB41">
        <f t="shared" si="46"/>
        <v>0</v>
      </c>
      <c r="BC41">
        <f t="shared" si="47"/>
        <v>0</v>
      </c>
      <c r="BD41">
        <f t="shared" si="48"/>
        <v>0</v>
      </c>
      <c r="BE41">
        <f t="shared" si="49"/>
        <v>0</v>
      </c>
      <c r="BF41">
        <f t="shared" si="50"/>
        <v>0</v>
      </c>
      <c r="BG41">
        <f t="shared" si="23"/>
        <v>0</v>
      </c>
      <c r="BH41">
        <f t="shared" si="24"/>
        <v>0</v>
      </c>
      <c r="BI41">
        <f t="shared" si="25"/>
        <v>0</v>
      </c>
      <c r="BJ41">
        <f t="shared" si="26"/>
        <v>0</v>
      </c>
      <c r="BK41">
        <f t="shared" si="27"/>
        <v>0</v>
      </c>
      <c r="BL41">
        <f t="shared" si="28"/>
        <v>365</v>
      </c>
      <c r="BM41">
        <f t="shared" si="29"/>
        <v>334</v>
      </c>
      <c r="BN41">
        <f t="shared" si="30"/>
        <v>304</v>
      </c>
      <c r="BO41">
        <f t="shared" si="31"/>
        <v>273</v>
      </c>
      <c r="BP41">
        <f t="shared" si="32"/>
        <v>242</v>
      </c>
      <c r="BQ41">
        <f t="shared" si="33"/>
        <v>212</v>
      </c>
      <c r="BR41">
        <f t="shared" si="34"/>
        <v>181</v>
      </c>
      <c r="BS41">
        <f t="shared" si="35"/>
        <v>151</v>
      </c>
      <c r="BT41">
        <f t="shared" si="36"/>
        <v>120</v>
      </c>
    </row>
    <row r="42" spans="1:72" ht="12.95" customHeight="1" x14ac:dyDescent="0.2">
      <c r="A42">
        <f t="shared" si="40"/>
        <v>2026</v>
      </c>
      <c r="B42">
        <f t="shared" si="13"/>
        <v>6</v>
      </c>
      <c r="C42">
        <f t="shared" si="14"/>
        <v>2</v>
      </c>
      <c r="D42" s="11">
        <f>prod!A39</f>
        <v>46174</v>
      </c>
      <c r="E42" s="11">
        <f t="shared" si="15"/>
        <v>46538</v>
      </c>
      <c r="F42" s="10" t="str">
        <f>prod!B39</f>
        <v>רכב רכוש</v>
      </c>
      <c r="G42" s="10" t="str">
        <f>prod!C39</f>
        <v xml:space="preserve">קסקו מקיף </v>
      </c>
      <c r="H42" s="10">
        <f>prod!D39</f>
        <v>7862120</v>
      </c>
      <c r="I42" s="10">
        <f>SUMIFS(info!C:C,info!$A:$A,data!$A42,info!$B:$B,data!$G42)</f>
        <v>0.14000000000000001</v>
      </c>
      <c r="J42" s="10">
        <f>SUMIFS(info!D:D,info!$A:$A,data!$A42,info!$B:$B,data!$G42)</f>
        <v>0.8</v>
      </c>
      <c r="K42" s="10">
        <f>SUMIFS(info!E:E,info!$A:$A,data!$A42,info!$B:$B,data!$G42)</f>
        <v>0.2</v>
      </c>
      <c r="L42" s="10">
        <f>SUMIFS(info!F:F,info!$A:$A,data!$A42,info!$B:$B,data!$G42)</f>
        <v>0.7</v>
      </c>
      <c r="M42" s="10">
        <f>IF(SUMIFS(info!$C$25:$C$27,info!$A$25:$A$27,data!A42,info!$B$25:$B$27,data!F42)&lt;=0,1,SUMIFS(info!$C$25:$C$27,info!$A$25:$A$27,data!A42,info!$B$25:$B$27,data!F42))*H42</f>
        <v>7862120</v>
      </c>
      <c r="N42" s="10">
        <f t="shared" si="16"/>
        <v>6289696</v>
      </c>
      <c r="O42" s="10">
        <f t="shared" si="17"/>
        <v>1100696.8</v>
      </c>
      <c r="P42" s="10">
        <f t="shared" si="18"/>
        <v>1257939.2000000002</v>
      </c>
      <c r="Q42" s="10">
        <f t="shared" si="19"/>
        <v>5503484</v>
      </c>
      <c r="R42" s="10">
        <f t="shared" si="20"/>
        <v>4402787.2</v>
      </c>
      <c r="S42" s="10">
        <f t="shared" si="21"/>
        <v>0</v>
      </c>
      <c r="T42" s="10">
        <f t="shared" si="39"/>
        <v>0</v>
      </c>
      <c r="U42" s="10">
        <f t="shared" si="39"/>
        <v>0</v>
      </c>
      <c r="V42" s="10">
        <f t="shared" si="39"/>
        <v>0</v>
      </c>
      <c r="W42" s="10">
        <f t="shared" si="39"/>
        <v>0</v>
      </c>
      <c r="X42" s="10">
        <f t="shared" si="39"/>
        <v>7215918.3561643837</v>
      </c>
      <c r="Y42" s="10">
        <f t="shared" si="39"/>
        <v>5234233.3150684936</v>
      </c>
      <c r="Z42" s="10">
        <f t="shared" si="39"/>
        <v>3252548.2739726026</v>
      </c>
      <c r="AA42" s="10"/>
      <c r="AB42" s="10"/>
      <c r="AC42">
        <f t="shared" si="51"/>
        <v>0</v>
      </c>
      <c r="AD42">
        <f t="shared" si="51"/>
        <v>0</v>
      </c>
      <c r="AE42">
        <f t="shared" si="51"/>
        <v>0</v>
      </c>
      <c r="AF42">
        <f t="shared" si="51"/>
        <v>0</v>
      </c>
      <c r="AG42">
        <f t="shared" si="51"/>
        <v>0</v>
      </c>
      <c r="AH42">
        <f t="shared" si="51"/>
        <v>0</v>
      </c>
      <c r="AI42">
        <f t="shared" si="51"/>
        <v>0</v>
      </c>
      <c r="AJ42">
        <f t="shared" si="51"/>
        <v>0</v>
      </c>
      <c r="AK42">
        <f t="shared" si="51"/>
        <v>0</v>
      </c>
      <c r="AL42">
        <f t="shared" si="51"/>
        <v>0</v>
      </c>
      <c r="AM42">
        <f t="shared" si="51"/>
        <v>0</v>
      </c>
      <c r="AN42">
        <f t="shared" si="51"/>
        <v>0</v>
      </c>
      <c r="AO42">
        <f t="shared" si="51"/>
        <v>0</v>
      </c>
      <c r="AP42">
        <f t="shared" si="51"/>
        <v>0</v>
      </c>
      <c r="AQ42">
        <f t="shared" si="51"/>
        <v>365</v>
      </c>
      <c r="AR42">
        <f t="shared" si="42"/>
        <v>335</v>
      </c>
      <c r="AS42">
        <f t="shared" si="41"/>
        <v>304</v>
      </c>
      <c r="AT42">
        <f t="shared" si="41"/>
        <v>273</v>
      </c>
      <c r="AU42">
        <f t="shared" si="41"/>
        <v>243</v>
      </c>
      <c r="AV42">
        <f t="shared" si="41"/>
        <v>212</v>
      </c>
      <c r="AW42">
        <f t="shared" si="41"/>
        <v>182</v>
      </c>
      <c r="AX42">
        <f t="shared" si="41"/>
        <v>151</v>
      </c>
      <c r="AY42">
        <f t="shared" si="43"/>
        <v>0</v>
      </c>
      <c r="AZ42">
        <f t="shared" si="44"/>
        <v>0</v>
      </c>
      <c r="BA42">
        <f t="shared" si="45"/>
        <v>0</v>
      </c>
      <c r="BB42">
        <f t="shared" si="46"/>
        <v>0</v>
      </c>
      <c r="BC42">
        <f t="shared" si="47"/>
        <v>0</v>
      </c>
      <c r="BD42">
        <f t="shared" si="48"/>
        <v>0</v>
      </c>
      <c r="BE42">
        <f t="shared" si="49"/>
        <v>0</v>
      </c>
      <c r="BF42">
        <f t="shared" si="50"/>
        <v>0</v>
      </c>
      <c r="BG42">
        <f t="shared" si="23"/>
        <v>0</v>
      </c>
      <c r="BH42">
        <f t="shared" si="24"/>
        <v>0</v>
      </c>
      <c r="BI42">
        <f t="shared" si="25"/>
        <v>0</v>
      </c>
      <c r="BJ42">
        <f t="shared" si="26"/>
        <v>0</v>
      </c>
      <c r="BK42">
        <f t="shared" si="27"/>
        <v>0</v>
      </c>
      <c r="BL42">
        <f t="shared" si="28"/>
        <v>0</v>
      </c>
      <c r="BM42">
        <f t="shared" si="29"/>
        <v>365</v>
      </c>
      <c r="BN42">
        <f t="shared" si="30"/>
        <v>335</v>
      </c>
      <c r="BO42">
        <f t="shared" si="31"/>
        <v>304</v>
      </c>
      <c r="BP42">
        <f t="shared" si="32"/>
        <v>273</v>
      </c>
      <c r="BQ42">
        <f t="shared" si="33"/>
        <v>243</v>
      </c>
      <c r="BR42">
        <f t="shared" si="34"/>
        <v>212</v>
      </c>
      <c r="BS42">
        <f t="shared" si="35"/>
        <v>182</v>
      </c>
      <c r="BT42">
        <f t="shared" si="36"/>
        <v>151</v>
      </c>
    </row>
    <row r="43" spans="1:72" ht="12.95" customHeight="1" x14ac:dyDescent="0.2">
      <c r="A43">
        <f t="shared" si="40"/>
        <v>2026</v>
      </c>
      <c r="B43">
        <f t="shared" si="13"/>
        <v>7</v>
      </c>
      <c r="C43">
        <f t="shared" si="14"/>
        <v>3</v>
      </c>
      <c r="D43" s="11">
        <f>prod!A40</f>
        <v>46204</v>
      </c>
      <c r="E43" s="11">
        <f t="shared" si="15"/>
        <v>46568</v>
      </c>
      <c r="F43" s="10" t="str">
        <f>prod!B40</f>
        <v>רכב רכוש</v>
      </c>
      <c r="G43" s="10" t="str">
        <f>prod!C40</f>
        <v xml:space="preserve">קסקו מקיף </v>
      </c>
      <c r="H43" s="10">
        <f>prod!D40</f>
        <v>9443133</v>
      </c>
      <c r="I43" s="10">
        <f>SUMIFS(info!C:C,info!$A:$A,data!$A43,info!$B:$B,data!$G43)</f>
        <v>0.14000000000000001</v>
      </c>
      <c r="J43" s="10">
        <f>SUMIFS(info!D:D,info!$A:$A,data!$A43,info!$B:$B,data!$G43)</f>
        <v>0.8</v>
      </c>
      <c r="K43" s="10">
        <f>SUMIFS(info!E:E,info!$A:$A,data!$A43,info!$B:$B,data!$G43)</f>
        <v>0.2</v>
      </c>
      <c r="L43" s="10">
        <f>SUMIFS(info!F:F,info!$A:$A,data!$A43,info!$B:$B,data!$G43)</f>
        <v>0.7</v>
      </c>
      <c r="M43" s="10">
        <f>IF(SUMIFS(info!$C$25:$C$27,info!$A$25:$A$27,data!A43,info!$B$25:$B$27,data!F43)&lt;=0,1,SUMIFS(info!$C$25:$C$27,info!$A$25:$A$27,data!A43,info!$B$25:$B$27,data!F43))*H43</f>
        <v>9443133</v>
      </c>
      <c r="N43" s="10">
        <f t="shared" si="16"/>
        <v>7554506.4000000004</v>
      </c>
      <c r="O43" s="10">
        <f t="shared" si="17"/>
        <v>1322038.6200000001</v>
      </c>
      <c r="P43" s="10">
        <f t="shared" si="18"/>
        <v>1510901.2800000003</v>
      </c>
      <c r="Q43" s="10">
        <f t="shared" si="19"/>
        <v>6610193.0999999996</v>
      </c>
      <c r="R43" s="10">
        <f t="shared" si="20"/>
        <v>5288154.4800000004</v>
      </c>
      <c r="S43" s="10">
        <f t="shared" si="21"/>
        <v>0</v>
      </c>
      <c r="T43" s="10">
        <f t="shared" si="39"/>
        <v>0</v>
      </c>
      <c r="U43" s="10">
        <f t="shared" si="39"/>
        <v>0</v>
      </c>
      <c r="V43" s="10">
        <f t="shared" si="39"/>
        <v>0</v>
      </c>
      <c r="W43" s="10">
        <f t="shared" si="39"/>
        <v>0</v>
      </c>
      <c r="X43" s="10">
        <f t="shared" si="39"/>
        <v>0</v>
      </c>
      <c r="Y43" s="10">
        <f t="shared" si="39"/>
        <v>7062946.0520547945</v>
      </c>
      <c r="Z43" s="10">
        <f t="shared" si="39"/>
        <v>4682759.104109589</v>
      </c>
      <c r="AA43" s="10"/>
      <c r="AB43" s="10"/>
      <c r="AC43">
        <f t="shared" si="51"/>
        <v>0</v>
      </c>
      <c r="AD43">
        <f t="shared" si="51"/>
        <v>0</v>
      </c>
      <c r="AE43">
        <f t="shared" si="51"/>
        <v>0</v>
      </c>
      <c r="AF43">
        <f t="shared" si="51"/>
        <v>0</v>
      </c>
      <c r="AG43">
        <f t="shared" si="51"/>
        <v>0</v>
      </c>
      <c r="AH43">
        <f t="shared" si="51"/>
        <v>0</v>
      </c>
      <c r="AI43">
        <f t="shared" si="51"/>
        <v>0</v>
      </c>
      <c r="AJ43">
        <f t="shared" si="51"/>
        <v>0</v>
      </c>
      <c r="AK43">
        <f t="shared" si="51"/>
        <v>0</v>
      </c>
      <c r="AL43">
        <f t="shared" si="51"/>
        <v>0</v>
      </c>
      <c r="AM43">
        <f t="shared" si="51"/>
        <v>0</v>
      </c>
      <c r="AN43">
        <f t="shared" si="51"/>
        <v>0</v>
      </c>
      <c r="AO43">
        <f t="shared" si="51"/>
        <v>0</v>
      </c>
      <c r="AP43">
        <f t="shared" si="51"/>
        <v>0</v>
      </c>
      <c r="AQ43">
        <f t="shared" si="51"/>
        <v>0</v>
      </c>
      <c r="AR43">
        <f t="shared" si="42"/>
        <v>365</v>
      </c>
      <c r="AS43">
        <f t="shared" si="41"/>
        <v>334</v>
      </c>
      <c r="AT43">
        <f t="shared" si="41"/>
        <v>303</v>
      </c>
      <c r="AU43">
        <f t="shared" si="41"/>
        <v>273</v>
      </c>
      <c r="AV43">
        <f t="shared" si="41"/>
        <v>242</v>
      </c>
      <c r="AW43">
        <f t="shared" si="41"/>
        <v>212</v>
      </c>
      <c r="AX43">
        <f t="shared" si="41"/>
        <v>181</v>
      </c>
      <c r="AY43">
        <f t="shared" si="43"/>
        <v>0</v>
      </c>
      <c r="AZ43">
        <f t="shared" si="44"/>
        <v>0</v>
      </c>
      <c r="BA43">
        <f t="shared" si="45"/>
        <v>0</v>
      </c>
      <c r="BB43">
        <f t="shared" si="46"/>
        <v>0</v>
      </c>
      <c r="BC43">
        <f t="shared" si="47"/>
        <v>0</v>
      </c>
      <c r="BD43">
        <f t="shared" si="48"/>
        <v>0</v>
      </c>
      <c r="BE43">
        <f t="shared" si="49"/>
        <v>0</v>
      </c>
      <c r="BF43">
        <f t="shared" si="50"/>
        <v>0</v>
      </c>
      <c r="BG43">
        <f t="shared" si="23"/>
        <v>0</v>
      </c>
      <c r="BH43">
        <f t="shared" si="24"/>
        <v>0</v>
      </c>
      <c r="BI43">
        <f t="shared" si="25"/>
        <v>0</v>
      </c>
      <c r="BJ43">
        <f t="shared" si="26"/>
        <v>0</v>
      </c>
      <c r="BK43">
        <f t="shared" si="27"/>
        <v>0</v>
      </c>
      <c r="BL43">
        <f t="shared" si="28"/>
        <v>0</v>
      </c>
      <c r="BM43">
        <f t="shared" si="29"/>
        <v>0</v>
      </c>
      <c r="BN43">
        <f t="shared" si="30"/>
        <v>365</v>
      </c>
      <c r="BO43">
        <f t="shared" si="31"/>
        <v>334</v>
      </c>
      <c r="BP43">
        <f t="shared" si="32"/>
        <v>303</v>
      </c>
      <c r="BQ43">
        <f t="shared" si="33"/>
        <v>273</v>
      </c>
      <c r="BR43">
        <f t="shared" si="34"/>
        <v>242</v>
      </c>
      <c r="BS43">
        <f t="shared" si="35"/>
        <v>212</v>
      </c>
      <c r="BT43">
        <f t="shared" si="36"/>
        <v>181</v>
      </c>
    </row>
    <row r="44" spans="1:72" ht="12.95" customHeight="1" x14ac:dyDescent="0.2">
      <c r="A44">
        <f t="shared" si="40"/>
        <v>2026</v>
      </c>
      <c r="B44">
        <f t="shared" si="13"/>
        <v>8</v>
      </c>
      <c r="C44">
        <f t="shared" si="14"/>
        <v>3</v>
      </c>
      <c r="D44" s="11">
        <f>prod!A41</f>
        <v>46235</v>
      </c>
      <c r="E44" s="11">
        <f t="shared" si="15"/>
        <v>46599</v>
      </c>
      <c r="F44" s="10" t="str">
        <f>prod!B41</f>
        <v>רכב רכוש</v>
      </c>
      <c r="G44" s="10" t="str">
        <f>prod!C41</f>
        <v xml:space="preserve">קסקו מקיף </v>
      </c>
      <c r="H44" s="10">
        <f>prod!D41</f>
        <v>10496828</v>
      </c>
      <c r="I44" s="10">
        <f>SUMIFS(info!C:C,info!$A:$A,data!$A44,info!$B:$B,data!$G44)</f>
        <v>0.14000000000000001</v>
      </c>
      <c r="J44" s="10">
        <f>SUMIFS(info!D:D,info!$A:$A,data!$A44,info!$B:$B,data!$G44)</f>
        <v>0.8</v>
      </c>
      <c r="K44" s="10">
        <f>SUMIFS(info!E:E,info!$A:$A,data!$A44,info!$B:$B,data!$G44)</f>
        <v>0.2</v>
      </c>
      <c r="L44" s="10">
        <f>SUMIFS(info!F:F,info!$A:$A,data!$A44,info!$B:$B,data!$G44)</f>
        <v>0.7</v>
      </c>
      <c r="M44" s="10">
        <f>IF(SUMIFS(info!$C$25:$C$27,info!$A$25:$A$27,data!A44,info!$B$25:$B$27,data!F44)&lt;=0,1,SUMIFS(info!$C$25:$C$27,info!$A$25:$A$27,data!A44,info!$B$25:$B$27,data!F44))*H44</f>
        <v>10496828</v>
      </c>
      <c r="N44" s="10">
        <f t="shared" si="16"/>
        <v>8397462.4000000004</v>
      </c>
      <c r="O44" s="10">
        <f t="shared" si="17"/>
        <v>1469555.9200000002</v>
      </c>
      <c r="P44" s="10">
        <f t="shared" si="18"/>
        <v>1679492.4800000002</v>
      </c>
      <c r="Q44" s="10">
        <f t="shared" si="19"/>
        <v>7347779.5999999996</v>
      </c>
      <c r="R44" s="10">
        <f t="shared" si="20"/>
        <v>5878223.6799999997</v>
      </c>
      <c r="S44" s="10">
        <f t="shared" si="21"/>
        <v>0</v>
      </c>
      <c r="T44" s="10">
        <f t="shared" si="39"/>
        <v>0</v>
      </c>
      <c r="U44" s="10">
        <f t="shared" si="39"/>
        <v>0</v>
      </c>
      <c r="V44" s="10">
        <f t="shared" si="39"/>
        <v>0</v>
      </c>
      <c r="W44" s="10">
        <f t="shared" si="39"/>
        <v>0</v>
      </c>
      <c r="X44" s="10">
        <f t="shared" si="39"/>
        <v>0</v>
      </c>
      <c r="Y44" s="10">
        <f t="shared" si="39"/>
        <v>8742563.5945205484</v>
      </c>
      <c r="Z44" s="10">
        <f t="shared" si="39"/>
        <v>6096787.7698630141</v>
      </c>
      <c r="AA44" s="10"/>
      <c r="AB44" s="10"/>
      <c r="AC44">
        <f t="shared" si="51"/>
        <v>0</v>
      </c>
      <c r="AD44">
        <f t="shared" si="51"/>
        <v>0</v>
      </c>
      <c r="AE44">
        <f t="shared" si="51"/>
        <v>0</v>
      </c>
      <c r="AF44">
        <f t="shared" si="51"/>
        <v>0</v>
      </c>
      <c r="AG44">
        <f t="shared" si="51"/>
        <v>0</v>
      </c>
      <c r="AH44">
        <f t="shared" si="51"/>
        <v>0</v>
      </c>
      <c r="AI44">
        <f t="shared" si="51"/>
        <v>0</v>
      </c>
      <c r="AJ44">
        <f t="shared" si="51"/>
        <v>0</v>
      </c>
      <c r="AK44">
        <f t="shared" si="51"/>
        <v>0</v>
      </c>
      <c r="AL44">
        <f t="shared" si="51"/>
        <v>0</v>
      </c>
      <c r="AM44">
        <f t="shared" si="51"/>
        <v>0</v>
      </c>
      <c r="AN44">
        <f t="shared" si="51"/>
        <v>0</v>
      </c>
      <c r="AO44">
        <f t="shared" si="51"/>
        <v>0</v>
      </c>
      <c r="AP44">
        <f t="shared" si="51"/>
        <v>0</v>
      </c>
      <c r="AQ44">
        <f t="shared" si="51"/>
        <v>0</v>
      </c>
      <c r="AR44">
        <f t="shared" si="42"/>
        <v>0</v>
      </c>
      <c r="AS44">
        <f t="shared" si="41"/>
        <v>365</v>
      </c>
      <c r="AT44">
        <f t="shared" si="41"/>
        <v>334</v>
      </c>
      <c r="AU44">
        <f t="shared" si="41"/>
        <v>304</v>
      </c>
      <c r="AV44">
        <f t="shared" si="41"/>
        <v>273</v>
      </c>
      <c r="AW44">
        <f t="shared" si="41"/>
        <v>243</v>
      </c>
      <c r="AX44">
        <f t="shared" si="41"/>
        <v>212</v>
      </c>
      <c r="AY44">
        <f t="shared" si="43"/>
        <v>0</v>
      </c>
      <c r="AZ44">
        <f t="shared" si="44"/>
        <v>0</v>
      </c>
      <c r="BA44">
        <f t="shared" si="45"/>
        <v>0</v>
      </c>
      <c r="BB44">
        <f t="shared" si="46"/>
        <v>0</v>
      </c>
      <c r="BC44">
        <f t="shared" si="47"/>
        <v>0</v>
      </c>
      <c r="BD44">
        <f t="shared" si="48"/>
        <v>0</v>
      </c>
      <c r="BE44">
        <f t="shared" si="49"/>
        <v>0</v>
      </c>
      <c r="BF44">
        <f t="shared" si="50"/>
        <v>0</v>
      </c>
      <c r="BG44">
        <f t="shared" si="23"/>
        <v>0</v>
      </c>
      <c r="BH44">
        <f t="shared" si="24"/>
        <v>0</v>
      </c>
      <c r="BI44">
        <f t="shared" si="25"/>
        <v>0</v>
      </c>
      <c r="BJ44">
        <f t="shared" si="26"/>
        <v>0</v>
      </c>
      <c r="BK44">
        <f t="shared" si="27"/>
        <v>0</v>
      </c>
      <c r="BL44">
        <f t="shared" si="28"/>
        <v>0</v>
      </c>
      <c r="BM44">
        <f t="shared" si="29"/>
        <v>0</v>
      </c>
      <c r="BN44">
        <f t="shared" si="30"/>
        <v>0</v>
      </c>
      <c r="BO44">
        <f t="shared" si="31"/>
        <v>365</v>
      </c>
      <c r="BP44">
        <f t="shared" si="32"/>
        <v>334</v>
      </c>
      <c r="BQ44">
        <f t="shared" si="33"/>
        <v>304</v>
      </c>
      <c r="BR44">
        <f t="shared" si="34"/>
        <v>273</v>
      </c>
      <c r="BS44">
        <f t="shared" si="35"/>
        <v>243</v>
      </c>
      <c r="BT44">
        <f t="shared" si="36"/>
        <v>212</v>
      </c>
    </row>
    <row r="45" spans="1:72" ht="12.95" customHeight="1" x14ac:dyDescent="0.2">
      <c r="A45">
        <f t="shared" si="40"/>
        <v>2026</v>
      </c>
      <c r="B45">
        <f t="shared" si="13"/>
        <v>9</v>
      </c>
      <c r="C45">
        <f t="shared" si="14"/>
        <v>3</v>
      </c>
      <c r="D45" s="11">
        <f>prod!A42</f>
        <v>46266</v>
      </c>
      <c r="E45" s="11">
        <f t="shared" si="15"/>
        <v>46630</v>
      </c>
      <c r="F45" s="10" t="str">
        <f>prod!B42</f>
        <v>רכב רכוש</v>
      </c>
      <c r="G45" s="10" t="str">
        <f>prod!C42</f>
        <v xml:space="preserve">קסקו מקיף </v>
      </c>
      <c r="H45" s="10">
        <f>prod!D42</f>
        <v>12925605</v>
      </c>
      <c r="I45" s="10">
        <f>SUMIFS(info!C:C,info!$A:$A,data!$A45,info!$B:$B,data!$G45)</f>
        <v>0.14000000000000001</v>
      </c>
      <c r="J45" s="10">
        <f>SUMIFS(info!D:D,info!$A:$A,data!$A45,info!$B:$B,data!$G45)</f>
        <v>0.8</v>
      </c>
      <c r="K45" s="10">
        <f>SUMIFS(info!E:E,info!$A:$A,data!$A45,info!$B:$B,data!$G45)</f>
        <v>0.2</v>
      </c>
      <c r="L45" s="10">
        <f>SUMIFS(info!F:F,info!$A:$A,data!$A45,info!$B:$B,data!$G45)</f>
        <v>0.7</v>
      </c>
      <c r="M45" s="10">
        <f>IF(SUMIFS(info!$C$25:$C$27,info!$A$25:$A$27,data!A45,info!$B$25:$B$27,data!F45)&lt;=0,1,SUMIFS(info!$C$25:$C$27,info!$A$25:$A$27,data!A45,info!$B$25:$B$27,data!F45))*H45</f>
        <v>12925605</v>
      </c>
      <c r="N45" s="10">
        <f t="shared" si="16"/>
        <v>10340484</v>
      </c>
      <c r="O45" s="10">
        <f t="shared" si="17"/>
        <v>1809584.7000000002</v>
      </c>
      <c r="P45" s="10">
        <f t="shared" si="18"/>
        <v>2068096.8</v>
      </c>
      <c r="Q45" s="10">
        <f t="shared" si="19"/>
        <v>9047923.5</v>
      </c>
      <c r="R45" s="10">
        <f t="shared" si="20"/>
        <v>7238338.8000000007</v>
      </c>
      <c r="S45" s="10">
        <f t="shared" si="21"/>
        <v>0</v>
      </c>
      <c r="T45" s="10">
        <f t="shared" si="39"/>
        <v>0</v>
      </c>
      <c r="U45" s="10">
        <f t="shared" si="39"/>
        <v>0</v>
      </c>
      <c r="V45" s="10">
        <f t="shared" si="39"/>
        <v>0</v>
      </c>
      <c r="W45" s="10">
        <f t="shared" si="39"/>
        <v>0</v>
      </c>
      <c r="X45" s="10">
        <f t="shared" si="39"/>
        <v>0</v>
      </c>
      <c r="Y45" s="10">
        <f t="shared" si="39"/>
        <v>11863226.506849315</v>
      </c>
      <c r="Z45" s="10">
        <f t="shared" si="39"/>
        <v>8605265.7945205476</v>
      </c>
      <c r="AA45" s="10"/>
      <c r="AB45" s="10"/>
      <c r="AC45">
        <f t="shared" si="51"/>
        <v>0</v>
      </c>
      <c r="AD45">
        <f t="shared" si="51"/>
        <v>0</v>
      </c>
      <c r="AE45">
        <f t="shared" si="51"/>
        <v>0</v>
      </c>
      <c r="AF45">
        <f t="shared" si="51"/>
        <v>0</v>
      </c>
      <c r="AG45">
        <f t="shared" si="51"/>
        <v>0</v>
      </c>
      <c r="AH45">
        <f t="shared" si="51"/>
        <v>0</v>
      </c>
      <c r="AI45">
        <f t="shared" si="51"/>
        <v>0</v>
      </c>
      <c r="AJ45">
        <f t="shared" si="51"/>
        <v>0</v>
      </c>
      <c r="AK45">
        <f t="shared" si="51"/>
        <v>0</v>
      </c>
      <c r="AL45">
        <f t="shared" si="51"/>
        <v>0</v>
      </c>
      <c r="AM45">
        <f t="shared" si="51"/>
        <v>0</v>
      </c>
      <c r="AN45">
        <f t="shared" si="51"/>
        <v>0</v>
      </c>
      <c r="AO45">
        <f t="shared" si="51"/>
        <v>0</v>
      </c>
      <c r="AP45">
        <f t="shared" si="51"/>
        <v>0</v>
      </c>
      <c r="AQ45">
        <f t="shared" si="51"/>
        <v>0</v>
      </c>
      <c r="AR45">
        <f t="shared" si="42"/>
        <v>0</v>
      </c>
      <c r="AS45">
        <f t="shared" si="41"/>
        <v>0</v>
      </c>
      <c r="AT45">
        <f t="shared" si="41"/>
        <v>365</v>
      </c>
      <c r="AU45">
        <f t="shared" si="41"/>
        <v>335</v>
      </c>
      <c r="AV45">
        <f t="shared" si="41"/>
        <v>304</v>
      </c>
      <c r="AW45">
        <f t="shared" si="41"/>
        <v>274</v>
      </c>
      <c r="AX45">
        <f t="shared" si="41"/>
        <v>243</v>
      </c>
      <c r="AY45">
        <f t="shared" si="43"/>
        <v>0</v>
      </c>
      <c r="AZ45">
        <f t="shared" si="44"/>
        <v>0</v>
      </c>
      <c r="BA45">
        <f t="shared" si="45"/>
        <v>0</v>
      </c>
      <c r="BB45">
        <f t="shared" si="46"/>
        <v>0</v>
      </c>
      <c r="BC45">
        <f t="shared" si="47"/>
        <v>0</v>
      </c>
      <c r="BD45">
        <f t="shared" si="48"/>
        <v>0</v>
      </c>
      <c r="BE45">
        <f t="shared" si="49"/>
        <v>0</v>
      </c>
      <c r="BF45">
        <f t="shared" si="50"/>
        <v>0</v>
      </c>
      <c r="BG45">
        <f t="shared" si="23"/>
        <v>0</v>
      </c>
      <c r="BH45">
        <f t="shared" si="24"/>
        <v>0</v>
      </c>
      <c r="BI45">
        <f t="shared" si="25"/>
        <v>0</v>
      </c>
      <c r="BJ45">
        <f t="shared" si="26"/>
        <v>0</v>
      </c>
      <c r="BK45">
        <f t="shared" si="27"/>
        <v>0</v>
      </c>
      <c r="BL45">
        <f t="shared" si="28"/>
        <v>0</v>
      </c>
      <c r="BM45">
        <f t="shared" si="29"/>
        <v>0</v>
      </c>
      <c r="BN45">
        <f t="shared" si="30"/>
        <v>0</v>
      </c>
      <c r="BO45">
        <f t="shared" si="31"/>
        <v>0</v>
      </c>
      <c r="BP45">
        <f t="shared" si="32"/>
        <v>365</v>
      </c>
      <c r="BQ45">
        <f t="shared" si="33"/>
        <v>335</v>
      </c>
      <c r="BR45">
        <f t="shared" si="34"/>
        <v>304</v>
      </c>
      <c r="BS45">
        <f t="shared" si="35"/>
        <v>274</v>
      </c>
      <c r="BT45">
        <f t="shared" si="36"/>
        <v>243</v>
      </c>
    </row>
    <row r="46" spans="1:72" ht="12.95" customHeight="1" x14ac:dyDescent="0.2">
      <c r="A46">
        <f t="shared" si="40"/>
        <v>2026</v>
      </c>
      <c r="B46">
        <f t="shared" si="13"/>
        <v>10</v>
      </c>
      <c r="C46">
        <f t="shared" si="14"/>
        <v>4</v>
      </c>
      <c r="D46" s="11">
        <f>prod!A43</f>
        <v>46296</v>
      </c>
      <c r="E46" s="11">
        <f t="shared" si="15"/>
        <v>46660</v>
      </c>
      <c r="F46" s="10" t="str">
        <f>prod!B43</f>
        <v>רכב רכוש</v>
      </c>
      <c r="G46" s="10" t="str">
        <f>prod!C43</f>
        <v xml:space="preserve">קסקו מקיף </v>
      </c>
      <c r="H46" s="10">
        <f>prod!D43</f>
        <v>11759580</v>
      </c>
      <c r="I46" s="10">
        <f>SUMIFS(info!C:C,info!$A:$A,data!$A46,info!$B:$B,data!$G46)</f>
        <v>0.14000000000000001</v>
      </c>
      <c r="J46" s="10">
        <f>SUMIFS(info!D:D,info!$A:$A,data!$A46,info!$B:$B,data!$G46)</f>
        <v>0.8</v>
      </c>
      <c r="K46" s="10">
        <f>SUMIFS(info!E:E,info!$A:$A,data!$A46,info!$B:$B,data!$G46)</f>
        <v>0.2</v>
      </c>
      <c r="L46" s="10">
        <f>SUMIFS(info!F:F,info!$A:$A,data!$A46,info!$B:$B,data!$G46)</f>
        <v>0.7</v>
      </c>
      <c r="M46" s="10">
        <f>IF(SUMIFS(info!$C$25:$C$27,info!$A$25:$A$27,data!A46,info!$B$25:$B$27,data!F46)&lt;=0,1,SUMIFS(info!$C$25:$C$27,info!$A$25:$A$27,data!A46,info!$B$25:$B$27,data!F46))*H46</f>
        <v>11759580</v>
      </c>
      <c r="N46" s="10">
        <f t="shared" si="16"/>
        <v>9407664</v>
      </c>
      <c r="O46" s="10">
        <f t="shared" si="17"/>
        <v>1646341.2000000002</v>
      </c>
      <c r="P46" s="10">
        <f t="shared" si="18"/>
        <v>1881532.8</v>
      </c>
      <c r="Q46" s="10">
        <f t="shared" si="19"/>
        <v>8231705.9999999991</v>
      </c>
      <c r="R46" s="10">
        <f t="shared" si="20"/>
        <v>6585364.7999999998</v>
      </c>
      <c r="S46" s="10">
        <f t="shared" si="21"/>
        <v>0</v>
      </c>
      <c r="T46" s="10">
        <f t="shared" si="39"/>
        <v>0</v>
      </c>
      <c r="U46" s="10">
        <f t="shared" si="39"/>
        <v>0</v>
      </c>
      <c r="V46" s="10">
        <f t="shared" si="39"/>
        <v>0</v>
      </c>
      <c r="W46" s="10">
        <f t="shared" si="39"/>
        <v>0</v>
      </c>
      <c r="X46" s="10">
        <f t="shared" si="39"/>
        <v>0</v>
      </c>
      <c r="Y46" s="10">
        <f t="shared" si="39"/>
        <v>0</v>
      </c>
      <c r="Z46" s="10">
        <f t="shared" si="39"/>
        <v>8795521.4794520549</v>
      </c>
      <c r="AA46" s="10"/>
      <c r="AB46" s="10"/>
      <c r="AC46">
        <f t="shared" si="51"/>
        <v>0</v>
      </c>
      <c r="AD46">
        <f t="shared" si="51"/>
        <v>0</v>
      </c>
      <c r="AE46">
        <f t="shared" si="51"/>
        <v>0</v>
      </c>
      <c r="AF46">
        <f t="shared" si="51"/>
        <v>0</v>
      </c>
      <c r="AG46">
        <f t="shared" si="51"/>
        <v>0</v>
      </c>
      <c r="AH46">
        <f t="shared" si="51"/>
        <v>0</v>
      </c>
      <c r="AI46">
        <f t="shared" si="51"/>
        <v>0</v>
      </c>
      <c r="AJ46">
        <f t="shared" si="51"/>
        <v>0</v>
      </c>
      <c r="AK46">
        <f t="shared" si="51"/>
        <v>0</v>
      </c>
      <c r="AL46">
        <f t="shared" si="51"/>
        <v>0</v>
      </c>
      <c r="AM46">
        <f t="shared" si="51"/>
        <v>0</v>
      </c>
      <c r="AN46">
        <f t="shared" si="51"/>
        <v>0</v>
      </c>
      <c r="AO46">
        <f t="shared" si="51"/>
        <v>0</v>
      </c>
      <c r="AP46">
        <f t="shared" si="51"/>
        <v>0</v>
      </c>
      <c r="AQ46">
        <f t="shared" si="51"/>
        <v>0</v>
      </c>
      <c r="AR46">
        <f t="shared" si="42"/>
        <v>0</v>
      </c>
      <c r="AS46">
        <f t="shared" si="41"/>
        <v>0</v>
      </c>
      <c r="AT46">
        <f t="shared" si="41"/>
        <v>0</v>
      </c>
      <c r="AU46">
        <f t="shared" si="41"/>
        <v>365</v>
      </c>
      <c r="AV46">
        <f t="shared" si="41"/>
        <v>334</v>
      </c>
      <c r="AW46">
        <f t="shared" si="41"/>
        <v>304</v>
      </c>
      <c r="AX46">
        <f t="shared" si="41"/>
        <v>273</v>
      </c>
      <c r="AY46">
        <f t="shared" si="43"/>
        <v>0</v>
      </c>
      <c r="AZ46">
        <f t="shared" si="44"/>
        <v>0</v>
      </c>
      <c r="BA46">
        <f t="shared" si="45"/>
        <v>0</v>
      </c>
      <c r="BB46">
        <f t="shared" si="46"/>
        <v>0</v>
      </c>
      <c r="BC46">
        <f t="shared" si="47"/>
        <v>0</v>
      </c>
      <c r="BD46">
        <f t="shared" si="48"/>
        <v>0</v>
      </c>
      <c r="BE46">
        <f t="shared" si="49"/>
        <v>0</v>
      </c>
      <c r="BF46">
        <f t="shared" si="50"/>
        <v>0</v>
      </c>
      <c r="BG46">
        <f t="shared" si="23"/>
        <v>0</v>
      </c>
      <c r="BH46">
        <f t="shared" si="24"/>
        <v>0</v>
      </c>
      <c r="BI46">
        <f t="shared" si="25"/>
        <v>0</v>
      </c>
      <c r="BJ46">
        <f t="shared" si="26"/>
        <v>0</v>
      </c>
      <c r="BK46">
        <f t="shared" si="27"/>
        <v>0</v>
      </c>
      <c r="BL46">
        <f t="shared" si="28"/>
        <v>0</v>
      </c>
      <c r="BM46">
        <f t="shared" si="29"/>
        <v>0</v>
      </c>
      <c r="BN46">
        <f t="shared" si="30"/>
        <v>0</v>
      </c>
      <c r="BO46">
        <f t="shared" si="31"/>
        <v>0</v>
      </c>
      <c r="BP46">
        <f t="shared" si="32"/>
        <v>0</v>
      </c>
      <c r="BQ46">
        <f t="shared" si="33"/>
        <v>365</v>
      </c>
      <c r="BR46">
        <f t="shared" si="34"/>
        <v>334</v>
      </c>
      <c r="BS46">
        <f t="shared" si="35"/>
        <v>304</v>
      </c>
      <c r="BT46">
        <f t="shared" si="36"/>
        <v>273</v>
      </c>
    </row>
    <row r="47" spans="1:72" ht="12.95" customHeight="1" x14ac:dyDescent="0.2">
      <c r="A47">
        <f t="shared" si="40"/>
        <v>2026</v>
      </c>
      <c r="B47">
        <f t="shared" si="13"/>
        <v>11</v>
      </c>
      <c r="C47">
        <f t="shared" si="14"/>
        <v>4</v>
      </c>
      <c r="D47" s="11">
        <f>prod!A44</f>
        <v>46327</v>
      </c>
      <c r="E47" s="11">
        <f t="shared" si="15"/>
        <v>46691</v>
      </c>
      <c r="F47" s="10" t="str">
        <f>prod!B44</f>
        <v>רכב רכוש</v>
      </c>
      <c r="G47" s="10" t="str">
        <f>prod!C44</f>
        <v xml:space="preserve">קסקו מקיף </v>
      </c>
      <c r="H47" s="10">
        <f>prod!D44</f>
        <v>11993142</v>
      </c>
      <c r="I47" s="10">
        <f>SUMIFS(info!C:C,info!$A:$A,data!$A47,info!$B:$B,data!$G47)</f>
        <v>0.14000000000000001</v>
      </c>
      <c r="J47" s="10">
        <f>SUMIFS(info!D:D,info!$A:$A,data!$A47,info!$B:$B,data!$G47)</f>
        <v>0.8</v>
      </c>
      <c r="K47" s="10">
        <f>SUMIFS(info!E:E,info!$A:$A,data!$A47,info!$B:$B,data!$G47)</f>
        <v>0.2</v>
      </c>
      <c r="L47" s="10">
        <f>SUMIFS(info!F:F,info!$A:$A,data!$A47,info!$B:$B,data!$G47)</f>
        <v>0.7</v>
      </c>
      <c r="M47" s="10">
        <f>IF(SUMIFS(info!$C$25:$C$27,info!$A$25:$A$27,data!A47,info!$B$25:$B$27,data!F47)&lt;=0,1,SUMIFS(info!$C$25:$C$27,info!$A$25:$A$27,data!A47,info!$B$25:$B$27,data!F47))*H47</f>
        <v>11993142</v>
      </c>
      <c r="N47" s="10">
        <f t="shared" si="16"/>
        <v>9594513.5999999996</v>
      </c>
      <c r="O47" s="10">
        <f t="shared" si="17"/>
        <v>1679039.8800000001</v>
      </c>
      <c r="P47" s="10">
        <f t="shared" si="18"/>
        <v>1918902.72</v>
      </c>
      <c r="Q47" s="10">
        <f t="shared" si="19"/>
        <v>8395199.4000000004</v>
      </c>
      <c r="R47" s="10">
        <f t="shared" si="20"/>
        <v>6716159.5200000005</v>
      </c>
      <c r="S47" s="10">
        <f t="shared" si="21"/>
        <v>0</v>
      </c>
      <c r="T47" s="10">
        <f t="shared" si="39"/>
        <v>0</v>
      </c>
      <c r="U47" s="10">
        <f t="shared" si="39"/>
        <v>0</v>
      </c>
      <c r="V47" s="10">
        <f t="shared" si="39"/>
        <v>0</v>
      </c>
      <c r="W47" s="10">
        <f t="shared" si="39"/>
        <v>0</v>
      </c>
      <c r="X47" s="10">
        <f t="shared" si="39"/>
        <v>0</v>
      </c>
      <c r="Y47" s="10">
        <f t="shared" si="39"/>
        <v>0</v>
      </c>
      <c r="Z47" s="10">
        <f t="shared" si="39"/>
        <v>9988808.6794520542</v>
      </c>
      <c r="AA47" s="10"/>
      <c r="AB47" s="10"/>
      <c r="AC47">
        <f t="shared" si="51"/>
        <v>0</v>
      </c>
      <c r="AD47">
        <f t="shared" si="51"/>
        <v>0</v>
      </c>
      <c r="AE47">
        <f t="shared" si="51"/>
        <v>0</v>
      </c>
      <c r="AF47">
        <f t="shared" si="51"/>
        <v>0</v>
      </c>
      <c r="AG47">
        <f t="shared" si="51"/>
        <v>0</v>
      </c>
      <c r="AH47">
        <f t="shared" si="51"/>
        <v>0</v>
      </c>
      <c r="AI47">
        <f t="shared" si="51"/>
        <v>0</v>
      </c>
      <c r="AJ47">
        <f t="shared" si="51"/>
        <v>0</v>
      </c>
      <c r="AK47">
        <f t="shared" si="51"/>
        <v>0</v>
      </c>
      <c r="AL47">
        <f t="shared" si="51"/>
        <v>0</v>
      </c>
      <c r="AM47">
        <f t="shared" si="51"/>
        <v>0</v>
      </c>
      <c r="AN47">
        <f t="shared" si="51"/>
        <v>0</v>
      </c>
      <c r="AO47">
        <f t="shared" si="51"/>
        <v>0</v>
      </c>
      <c r="AP47">
        <f t="shared" si="51"/>
        <v>0</v>
      </c>
      <c r="AQ47">
        <f t="shared" si="51"/>
        <v>0</v>
      </c>
      <c r="AR47">
        <f t="shared" si="42"/>
        <v>0</v>
      </c>
      <c r="AS47">
        <f t="shared" si="41"/>
        <v>0</v>
      </c>
      <c r="AT47">
        <f t="shared" si="41"/>
        <v>0</v>
      </c>
      <c r="AU47">
        <f t="shared" si="41"/>
        <v>0</v>
      </c>
      <c r="AV47">
        <f t="shared" si="41"/>
        <v>365</v>
      </c>
      <c r="AW47">
        <f t="shared" si="41"/>
        <v>335</v>
      </c>
      <c r="AX47">
        <f t="shared" si="41"/>
        <v>304</v>
      </c>
      <c r="AY47">
        <f t="shared" si="43"/>
        <v>0</v>
      </c>
      <c r="AZ47">
        <f t="shared" si="44"/>
        <v>0</v>
      </c>
      <c r="BA47">
        <f t="shared" si="45"/>
        <v>0</v>
      </c>
      <c r="BB47">
        <f t="shared" si="46"/>
        <v>0</v>
      </c>
      <c r="BC47">
        <f t="shared" si="47"/>
        <v>0</v>
      </c>
      <c r="BD47">
        <f t="shared" si="48"/>
        <v>0</v>
      </c>
      <c r="BE47">
        <f t="shared" si="49"/>
        <v>0</v>
      </c>
      <c r="BF47">
        <f t="shared" si="50"/>
        <v>0</v>
      </c>
      <c r="BG47">
        <f t="shared" si="23"/>
        <v>0</v>
      </c>
      <c r="BH47">
        <f t="shared" si="24"/>
        <v>0</v>
      </c>
      <c r="BI47">
        <f t="shared" si="25"/>
        <v>0</v>
      </c>
      <c r="BJ47">
        <f t="shared" si="26"/>
        <v>0</v>
      </c>
      <c r="BK47">
        <f t="shared" si="27"/>
        <v>0</v>
      </c>
      <c r="BL47">
        <f t="shared" si="28"/>
        <v>0</v>
      </c>
      <c r="BM47">
        <f t="shared" si="29"/>
        <v>0</v>
      </c>
      <c r="BN47">
        <f t="shared" si="30"/>
        <v>0</v>
      </c>
      <c r="BO47">
        <f t="shared" si="31"/>
        <v>0</v>
      </c>
      <c r="BP47">
        <f t="shared" si="32"/>
        <v>0</v>
      </c>
      <c r="BQ47">
        <f t="shared" si="33"/>
        <v>0</v>
      </c>
      <c r="BR47">
        <f t="shared" si="34"/>
        <v>365</v>
      </c>
      <c r="BS47">
        <f t="shared" si="35"/>
        <v>335</v>
      </c>
      <c r="BT47">
        <f t="shared" si="36"/>
        <v>304</v>
      </c>
    </row>
    <row r="48" spans="1:72" ht="12.95" customHeight="1" x14ac:dyDescent="0.2">
      <c r="A48">
        <f t="shared" si="40"/>
        <v>2026</v>
      </c>
      <c r="B48">
        <f t="shared" si="13"/>
        <v>12</v>
      </c>
      <c r="C48">
        <f t="shared" si="14"/>
        <v>4</v>
      </c>
      <c r="D48" s="11">
        <f>prod!A45</f>
        <v>46357</v>
      </c>
      <c r="E48" s="11">
        <f t="shared" si="15"/>
        <v>46721</v>
      </c>
      <c r="F48" s="10" t="str">
        <f>prod!B45</f>
        <v>רכב רכוש</v>
      </c>
      <c r="G48" s="10" t="str">
        <f>prod!C45</f>
        <v xml:space="preserve">קסקו מקיף </v>
      </c>
      <c r="H48" s="10">
        <f>prod!D45</f>
        <v>14768572</v>
      </c>
      <c r="I48" s="10">
        <f>SUMIFS(info!C:C,info!$A:$A,data!$A48,info!$B:$B,data!$G48)</f>
        <v>0.14000000000000001</v>
      </c>
      <c r="J48" s="10">
        <f>SUMIFS(info!D:D,info!$A:$A,data!$A48,info!$B:$B,data!$G48)</f>
        <v>0.8</v>
      </c>
      <c r="K48" s="10">
        <f>SUMIFS(info!E:E,info!$A:$A,data!$A48,info!$B:$B,data!$G48)</f>
        <v>0.2</v>
      </c>
      <c r="L48" s="10">
        <f>SUMIFS(info!F:F,info!$A:$A,data!$A48,info!$B:$B,data!$G48)</f>
        <v>0.7</v>
      </c>
      <c r="M48" s="10">
        <f>IF(SUMIFS(info!$C$25:$C$27,info!$A$25:$A$27,data!A48,info!$B$25:$B$27,data!F48)&lt;=0,1,SUMIFS(info!$C$25:$C$27,info!$A$25:$A$27,data!A48,info!$B$25:$B$27,data!F48))*H48</f>
        <v>14768572</v>
      </c>
      <c r="N48" s="10">
        <f t="shared" si="16"/>
        <v>11814857.600000001</v>
      </c>
      <c r="O48" s="10">
        <f t="shared" si="17"/>
        <v>2067600.0800000003</v>
      </c>
      <c r="P48" s="10">
        <f t="shared" si="18"/>
        <v>2362971.5200000005</v>
      </c>
      <c r="Q48" s="10">
        <f t="shared" si="19"/>
        <v>10338000.399999999</v>
      </c>
      <c r="R48" s="10">
        <f t="shared" si="20"/>
        <v>8270400.3199999994</v>
      </c>
      <c r="S48" s="10">
        <f t="shared" si="21"/>
        <v>0</v>
      </c>
      <c r="T48" s="10">
        <f t="shared" si="39"/>
        <v>0</v>
      </c>
      <c r="U48" s="10">
        <f t="shared" si="39"/>
        <v>0</v>
      </c>
      <c r="V48" s="10">
        <f t="shared" si="39"/>
        <v>0</v>
      </c>
      <c r="W48" s="10">
        <f t="shared" si="39"/>
        <v>0</v>
      </c>
      <c r="X48" s="10">
        <f t="shared" si="39"/>
        <v>0</v>
      </c>
      <c r="Y48" s="10">
        <f t="shared" si="39"/>
        <v>0</v>
      </c>
      <c r="Z48" s="10">
        <f t="shared" si="39"/>
        <v>13514254.926027397</v>
      </c>
      <c r="AA48" s="10"/>
      <c r="AB48" s="10"/>
      <c r="AC48">
        <f t="shared" si="51"/>
        <v>0</v>
      </c>
      <c r="AD48">
        <f t="shared" si="51"/>
        <v>0</v>
      </c>
      <c r="AE48">
        <f t="shared" si="51"/>
        <v>0</v>
      </c>
      <c r="AF48">
        <f t="shared" si="51"/>
        <v>0</v>
      </c>
      <c r="AG48">
        <f t="shared" si="51"/>
        <v>0</v>
      </c>
      <c r="AH48">
        <f t="shared" si="51"/>
        <v>0</v>
      </c>
      <c r="AI48">
        <f t="shared" si="51"/>
        <v>0</v>
      </c>
      <c r="AJ48">
        <f t="shared" si="51"/>
        <v>0</v>
      </c>
      <c r="AK48">
        <f t="shared" si="51"/>
        <v>0</v>
      </c>
      <c r="AL48">
        <f t="shared" si="51"/>
        <v>0</v>
      </c>
      <c r="AM48">
        <f t="shared" si="51"/>
        <v>0</v>
      </c>
      <c r="AN48">
        <f t="shared" si="51"/>
        <v>0</v>
      </c>
      <c r="AO48">
        <f t="shared" si="51"/>
        <v>0</v>
      </c>
      <c r="AP48">
        <f t="shared" si="51"/>
        <v>0</v>
      </c>
      <c r="AQ48">
        <f t="shared" si="51"/>
        <v>0</v>
      </c>
      <c r="AR48">
        <f t="shared" si="42"/>
        <v>0</v>
      </c>
      <c r="AS48">
        <f t="shared" si="41"/>
        <v>0</v>
      </c>
      <c r="AT48">
        <f t="shared" si="41"/>
        <v>0</v>
      </c>
      <c r="AU48">
        <f t="shared" si="41"/>
        <v>0</v>
      </c>
      <c r="AV48">
        <f t="shared" si="41"/>
        <v>0</v>
      </c>
      <c r="AW48">
        <f t="shared" si="41"/>
        <v>365</v>
      </c>
      <c r="AX48">
        <f t="shared" si="41"/>
        <v>334</v>
      </c>
      <c r="AY48">
        <f t="shared" si="43"/>
        <v>0</v>
      </c>
      <c r="AZ48">
        <f t="shared" si="44"/>
        <v>0</v>
      </c>
      <c r="BA48">
        <f t="shared" si="45"/>
        <v>0</v>
      </c>
      <c r="BB48">
        <f t="shared" si="46"/>
        <v>0</v>
      </c>
      <c r="BC48">
        <f t="shared" si="47"/>
        <v>0</v>
      </c>
      <c r="BD48">
        <f t="shared" si="48"/>
        <v>0</v>
      </c>
      <c r="BE48">
        <f t="shared" si="49"/>
        <v>0</v>
      </c>
      <c r="BF48">
        <f t="shared" si="50"/>
        <v>0</v>
      </c>
      <c r="BG48">
        <f t="shared" si="23"/>
        <v>0</v>
      </c>
      <c r="BH48">
        <f t="shared" si="24"/>
        <v>0</v>
      </c>
      <c r="BI48">
        <f t="shared" si="25"/>
        <v>0</v>
      </c>
      <c r="BJ48">
        <f t="shared" si="26"/>
        <v>0</v>
      </c>
      <c r="BK48">
        <f t="shared" si="27"/>
        <v>0</v>
      </c>
      <c r="BL48">
        <f t="shared" si="28"/>
        <v>0</v>
      </c>
      <c r="BM48">
        <f t="shared" si="29"/>
        <v>0</v>
      </c>
      <c r="BN48">
        <f t="shared" si="30"/>
        <v>0</v>
      </c>
      <c r="BO48">
        <f t="shared" si="31"/>
        <v>0</v>
      </c>
      <c r="BP48">
        <f t="shared" si="32"/>
        <v>0</v>
      </c>
      <c r="BQ48">
        <f t="shared" si="33"/>
        <v>0</v>
      </c>
      <c r="BR48">
        <f t="shared" si="34"/>
        <v>0</v>
      </c>
      <c r="BS48">
        <f t="shared" si="35"/>
        <v>365</v>
      </c>
      <c r="BT48">
        <f t="shared" si="36"/>
        <v>334</v>
      </c>
    </row>
    <row r="49" spans="1:72" ht="12.95" customHeight="1" x14ac:dyDescent="0.2">
      <c r="A49">
        <f t="shared" si="40"/>
        <v>2026</v>
      </c>
      <c r="B49">
        <f t="shared" si="13"/>
        <v>1</v>
      </c>
      <c r="C49">
        <f t="shared" si="14"/>
        <v>1</v>
      </c>
      <c r="D49" s="11">
        <f>prod!A46</f>
        <v>46023</v>
      </c>
      <c r="E49" s="11">
        <f t="shared" si="15"/>
        <v>46387</v>
      </c>
      <c r="F49" s="10" t="str">
        <f>prod!B46</f>
        <v>רכב רכוש</v>
      </c>
      <c r="G49" s="10" t="str">
        <f>prod!C46</f>
        <v xml:space="preserve">קסקו צד ג </v>
      </c>
      <c r="H49" s="10">
        <f>prod!D46</f>
        <v>1509057</v>
      </c>
      <c r="I49" s="10">
        <f>SUMIFS(info!C:C,info!$A:$A,data!$A49,info!$B:$B,data!$G49)</f>
        <v>0.14000000000000001</v>
      </c>
      <c r="J49" s="10">
        <f>SUMIFS(info!D:D,info!$A:$A,data!$A49,info!$B:$B,data!$G49)</f>
        <v>0.8</v>
      </c>
      <c r="K49" s="10">
        <f>SUMIFS(info!E:E,info!$A:$A,data!$A49,info!$B:$B,data!$G49)</f>
        <v>0.2</v>
      </c>
      <c r="L49" s="10">
        <f>SUMIFS(info!F:F,info!$A:$A,data!$A49,info!$B:$B,data!$G49)</f>
        <v>0.7</v>
      </c>
      <c r="M49" s="10">
        <f>IF(SUMIFS(info!$C$25:$C$27,info!$A$25:$A$27,data!A49,info!$B$25:$B$27,data!F49)&lt;=0,1,SUMIFS(info!$C$25:$C$27,info!$A$25:$A$27,data!A49,info!$B$25:$B$27,data!F49))*H49</f>
        <v>1509057</v>
      </c>
      <c r="N49" s="10">
        <f t="shared" si="16"/>
        <v>1207245.6000000001</v>
      </c>
      <c r="O49" s="10">
        <f t="shared" si="17"/>
        <v>211267.98</v>
      </c>
      <c r="P49" s="10">
        <f t="shared" si="18"/>
        <v>241449.12000000002</v>
      </c>
      <c r="Q49" s="10">
        <f t="shared" si="19"/>
        <v>1056339.8999999999</v>
      </c>
      <c r="R49" s="10">
        <f t="shared" si="20"/>
        <v>845071.91999999993</v>
      </c>
      <c r="S49" s="10">
        <f t="shared" si="21"/>
        <v>0</v>
      </c>
      <c r="T49" s="10">
        <f t="shared" ref="T49:Z64" si="52">IF($D49&gt;T$4,0,$M49*MAX(0,$E49-T$4)/($E49-$D49+1))</f>
        <v>0</v>
      </c>
      <c r="U49" s="10">
        <f t="shared" si="52"/>
        <v>0</v>
      </c>
      <c r="V49" s="10">
        <f t="shared" si="52"/>
        <v>0</v>
      </c>
      <c r="W49" s="10">
        <f t="shared" si="52"/>
        <v>1136960.7534246575</v>
      </c>
      <c r="X49" s="10">
        <f t="shared" si="52"/>
        <v>760730.10410958901</v>
      </c>
      <c r="Y49" s="10">
        <f t="shared" si="52"/>
        <v>380365.05205479451</v>
      </c>
      <c r="Z49" s="10">
        <f t="shared" si="52"/>
        <v>0</v>
      </c>
      <c r="AA49" s="10"/>
      <c r="AB49" s="10"/>
      <c r="AC49">
        <f t="shared" si="51"/>
        <v>0</v>
      </c>
      <c r="AD49">
        <f t="shared" si="51"/>
        <v>0</v>
      </c>
      <c r="AE49">
        <f t="shared" si="51"/>
        <v>0</v>
      </c>
      <c r="AF49">
        <f t="shared" si="51"/>
        <v>0</v>
      </c>
      <c r="AG49">
        <f t="shared" si="51"/>
        <v>0</v>
      </c>
      <c r="AH49">
        <f t="shared" si="51"/>
        <v>0</v>
      </c>
      <c r="AI49">
        <f t="shared" si="51"/>
        <v>0</v>
      </c>
      <c r="AJ49">
        <f t="shared" si="51"/>
        <v>0</v>
      </c>
      <c r="AK49">
        <f t="shared" si="51"/>
        <v>0</v>
      </c>
      <c r="AL49">
        <f t="shared" si="51"/>
        <v>365</v>
      </c>
      <c r="AM49">
        <f t="shared" si="51"/>
        <v>334</v>
      </c>
      <c r="AN49">
        <f t="shared" si="51"/>
        <v>306</v>
      </c>
      <c r="AO49">
        <f t="shared" si="51"/>
        <v>275</v>
      </c>
      <c r="AP49">
        <f t="shared" si="51"/>
        <v>245</v>
      </c>
      <c r="AQ49">
        <f t="shared" si="51"/>
        <v>214</v>
      </c>
      <c r="AR49">
        <f t="shared" si="42"/>
        <v>184</v>
      </c>
      <c r="AS49">
        <f t="shared" si="41"/>
        <v>153</v>
      </c>
      <c r="AT49">
        <f t="shared" si="41"/>
        <v>122</v>
      </c>
      <c r="AU49">
        <f t="shared" si="41"/>
        <v>92</v>
      </c>
      <c r="AV49">
        <f t="shared" si="41"/>
        <v>61</v>
      </c>
      <c r="AW49">
        <f t="shared" si="41"/>
        <v>31</v>
      </c>
      <c r="AX49">
        <f t="shared" si="41"/>
        <v>0</v>
      </c>
      <c r="AY49">
        <f t="shared" si="43"/>
        <v>0</v>
      </c>
      <c r="AZ49">
        <f t="shared" si="44"/>
        <v>0</v>
      </c>
      <c r="BA49">
        <f t="shared" si="45"/>
        <v>0</v>
      </c>
      <c r="BB49">
        <f t="shared" si="46"/>
        <v>0</v>
      </c>
      <c r="BC49">
        <f t="shared" si="47"/>
        <v>0</v>
      </c>
      <c r="BD49">
        <f t="shared" si="48"/>
        <v>0</v>
      </c>
      <c r="BE49">
        <f t="shared" si="49"/>
        <v>0</v>
      </c>
      <c r="BF49">
        <f t="shared" si="50"/>
        <v>0</v>
      </c>
      <c r="BG49">
        <f t="shared" si="23"/>
        <v>0</v>
      </c>
      <c r="BH49">
        <f t="shared" si="24"/>
        <v>365</v>
      </c>
      <c r="BI49">
        <f t="shared" si="25"/>
        <v>334</v>
      </c>
      <c r="BJ49">
        <f t="shared" si="26"/>
        <v>306</v>
      </c>
      <c r="BK49">
        <f t="shared" si="27"/>
        <v>275</v>
      </c>
      <c r="BL49">
        <f t="shared" si="28"/>
        <v>245</v>
      </c>
      <c r="BM49">
        <f t="shared" si="29"/>
        <v>214</v>
      </c>
      <c r="BN49">
        <f t="shared" si="30"/>
        <v>184</v>
      </c>
      <c r="BO49">
        <f t="shared" si="31"/>
        <v>153</v>
      </c>
      <c r="BP49">
        <f t="shared" si="32"/>
        <v>122</v>
      </c>
      <c r="BQ49">
        <f t="shared" si="33"/>
        <v>92</v>
      </c>
      <c r="BR49">
        <f t="shared" si="34"/>
        <v>61</v>
      </c>
      <c r="BS49">
        <f t="shared" si="35"/>
        <v>31</v>
      </c>
      <c r="BT49">
        <f t="shared" si="36"/>
        <v>0</v>
      </c>
    </row>
    <row r="50" spans="1:72" ht="12.95" customHeight="1" x14ac:dyDescent="0.2">
      <c r="A50">
        <f t="shared" si="40"/>
        <v>2026</v>
      </c>
      <c r="B50">
        <f t="shared" si="13"/>
        <v>2</v>
      </c>
      <c r="C50">
        <f t="shared" si="14"/>
        <v>1</v>
      </c>
      <c r="D50" s="11">
        <f>prod!A47</f>
        <v>46054</v>
      </c>
      <c r="E50" s="11">
        <f t="shared" si="15"/>
        <v>46418</v>
      </c>
      <c r="F50" s="10" t="str">
        <f>prod!B47</f>
        <v>רכב רכוש</v>
      </c>
      <c r="G50" s="10" t="str">
        <f>prod!C47</f>
        <v xml:space="preserve">קסקו צד ג </v>
      </c>
      <c r="H50" s="10">
        <f>prod!D47</f>
        <v>1426059</v>
      </c>
      <c r="I50" s="10">
        <f>SUMIFS(info!C:C,info!$A:$A,data!$A50,info!$B:$B,data!$G50)</f>
        <v>0.14000000000000001</v>
      </c>
      <c r="J50" s="10">
        <f>SUMIFS(info!D:D,info!$A:$A,data!$A50,info!$B:$B,data!$G50)</f>
        <v>0.8</v>
      </c>
      <c r="K50" s="10">
        <f>SUMIFS(info!E:E,info!$A:$A,data!$A50,info!$B:$B,data!$G50)</f>
        <v>0.2</v>
      </c>
      <c r="L50" s="10">
        <f>SUMIFS(info!F:F,info!$A:$A,data!$A50,info!$B:$B,data!$G50)</f>
        <v>0.7</v>
      </c>
      <c r="M50" s="10">
        <f>IF(SUMIFS(info!$C$25:$C$27,info!$A$25:$A$27,data!A50,info!$B$25:$B$27,data!F50)&lt;=0,1,SUMIFS(info!$C$25:$C$27,info!$A$25:$A$27,data!A50,info!$B$25:$B$27,data!F50))*H50</f>
        <v>1426059</v>
      </c>
      <c r="N50" s="10">
        <f t="shared" si="16"/>
        <v>1140847.2</v>
      </c>
      <c r="O50" s="10">
        <f t="shared" si="17"/>
        <v>199648.26</v>
      </c>
      <c r="P50" s="10">
        <f t="shared" si="18"/>
        <v>228169.44</v>
      </c>
      <c r="Q50" s="10">
        <f t="shared" si="19"/>
        <v>998241.29999999993</v>
      </c>
      <c r="R50" s="10">
        <f t="shared" si="20"/>
        <v>798593.04</v>
      </c>
      <c r="S50" s="10">
        <f t="shared" si="21"/>
        <v>0</v>
      </c>
      <c r="T50" s="10">
        <f t="shared" si="52"/>
        <v>0</v>
      </c>
      <c r="U50" s="10">
        <f t="shared" si="52"/>
        <v>0</v>
      </c>
      <c r="V50" s="10">
        <f t="shared" si="52"/>
        <v>0</v>
      </c>
      <c r="W50" s="10">
        <f t="shared" si="52"/>
        <v>1195545.3534246576</v>
      </c>
      <c r="X50" s="10">
        <f t="shared" si="52"/>
        <v>840007.35616438359</v>
      </c>
      <c r="Y50" s="10">
        <f t="shared" si="52"/>
        <v>480562.34794520546</v>
      </c>
      <c r="Z50" s="10">
        <f t="shared" si="52"/>
        <v>121117.33972602739</v>
      </c>
      <c r="AA50" s="10"/>
      <c r="AB50" s="10"/>
      <c r="AC50">
        <f t="shared" si="51"/>
        <v>0</v>
      </c>
      <c r="AD50">
        <f t="shared" si="51"/>
        <v>0</v>
      </c>
      <c r="AE50">
        <f t="shared" si="51"/>
        <v>0</v>
      </c>
      <c r="AF50">
        <f t="shared" si="51"/>
        <v>0</v>
      </c>
      <c r="AG50">
        <f t="shared" si="51"/>
        <v>0</v>
      </c>
      <c r="AH50">
        <f t="shared" si="51"/>
        <v>0</v>
      </c>
      <c r="AI50">
        <f t="shared" si="51"/>
        <v>0</v>
      </c>
      <c r="AJ50">
        <f t="shared" si="51"/>
        <v>0</v>
      </c>
      <c r="AK50">
        <f t="shared" si="51"/>
        <v>0</v>
      </c>
      <c r="AL50">
        <f t="shared" si="51"/>
        <v>0</v>
      </c>
      <c r="AM50">
        <f t="shared" si="51"/>
        <v>365</v>
      </c>
      <c r="AN50">
        <f t="shared" si="51"/>
        <v>337</v>
      </c>
      <c r="AO50">
        <f t="shared" si="51"/>
        <v>306</v>
      </c>
      <c r="AP50">
        <f t="shared" si="51"/>
        <v>276</v>
      </c>
      <c r="AQ50">
        <f t="shared" si="51"/>
        <v>245</v>
      </c>
      <c r="AR50">
        <f t="shared" si="42"/>
        <v>215</v>
      </c>
      <c r="AS50">
        <f t="shared" si="41"/>
        <v>184</v>
      </c>
      <c r="AT50">
        <f t="shared" si="41"/>
        <v>153</v>
      </c>
      <c r="AU50">
        <f t="shared" si="41"/>
        <v>123</v>
      </c>
      <c r="AV50">
        <f t="shared" si="41"/>
        <v>92</v>
      </c>
      <c r="AW50">
        <f t="shared" si="41"/>
        <v>62</v>
      </c>
      <c r="AX50">
        <f t="shared" si="41"/>
        <v>31</v>
      </c>
      <c r="AY50">
        <f t="shared" si="43"/>
        <v>0</v>
      </c>
      <c r="AZ50">
        <f t="shared" si="44"/>
        <v>0</v>
      </c>
      <c r="BA50">
        <f t="shared" si="45"/>
        <v>0</v>
      </c>
      <c r="BB50">
        <f t="shared" si="46"/>
        <v>0</v>
      </c>
      <c r="BC50">
        <f t="shared" si="47"/>
        <v>0</v>
      </c>
      <c r="BD50">
        <f t="shared" si="48"/>
        <v>0</v>
      </c>
      <c r="BE50">
        <f t="shared" si="49"/>
        <v>0</v>
      </c>
      <c r="BF50">
        <f t="shared" si="50"/>
        <v>0</v>
      </c>
      <c r="BG50">
        <f t="shared" si="23"/>
        <v>0</v>
      </c>
      <c r="BH50">
        <f t="shared" si="24"/>
        <v>0</v>
      </c>
      <c r="BI50">
        <f t="shared" si="25"/>
        <v>365</v>
      </c>
      <c r="BJ50">
        <f t="shared" si="26"/>
        <v>337</v>
      </c>
      <c r="BK50">
        <f t="shared" si="27"/>
        <v>306</v>
      </c>
      <c r="BL50">
        <f t="shared" si="28"/>
        <v>276</v>
      </c>
      <c r="BM50">
        <f t="shared" si="29"/>
        <v>245</v>
      </c>
      <c r="BN50">
        <f t="shared" si="30"/>
        <v>215</v>
      </c>
      <c r="BO50">
        <f t="shared" si="31"/>
        <v>184</v>
      </c>
      <c r="BP50">
        <f t="shared" si="32"/>
        <v>153</v>
      </c>
      <c r="BQ50">
        <f t="shared" si="33"/>
        <v>123</v>
      </c>
      <c r="BR50">
        <f t="shared" si="34"/>
        <v>92</v>
      </c>
      <c r="BS50">
        <f t="shared" si="35"/>
        <v>62</v>
      </c>
      <c r="BT50">
        <f t="shared" si="36"/>
        <v>31</v>
      </c>
    </row>
    <row r="51" spans="1:72" ht="12.95" customHeight="1" x14ac:dyDescent="0.2">
      <c r="A51">
        <f t="shared" si="40"/>
        <v>2026</v>
      </c>
      <c r="B51">
        <f t="shared" si="13"/>
        <v>3</v>
      </c>
      <c r="C51">
        <f t="shared" si="14"/>
        <v>1</v>
      </c>
      <c r="D51" s="11">
        <f>prod!A48</f>
        <v>46082</v>
      </c>
      <c r="E51" s="11">
        <f t="shared" si="15"/>
        <v>46446</v>
      </c>
      <c r="F51" s="10" t="str">
        <f>prod!B48</f>
        <v>רכב רכוש</v>
      </c>
      <c r="G51" s="10" t="str">
        <f>prod!C48</f>
        <v xml:space="preserve">קסקו צד ג </v>
      </c>
      <c r="H51" s="10">
        <f>prod!D48</f>
        <v>1397538</v>
      </c>
      <c r="I51" s="10">
        <f>SUMIFS(info!C:C,info!$A:$A,data!$A51,info!$B:$B,data!$G51)</f>
        <v>0.14000000000000001</v>
      </c>
      <c r="J51" s="10">
        <f>SUMIFS(info!D:D,info!$A:$A,data!$A51,info!$B:$B,data!$G51)</f>
        <v>0.8</v>
      </c>
      <c r="K51" s="10">
        <f>SUMIFS(info!E:E,info!$A:$A,data!$A51,info!$B:$B,data!$G51)</f>
        <v>0.2</v>
      </c>
      <c r="L51" s="10">
        <f>SUMIFS(info!F:F,info!$A:$A,data!$A51,info!$B:$B,data!$G51)</f>
        <v>0.7</v>
      </c>
      <c r="M51" s="10">
        <f>IF(SUMIFS(info!$C$25:$C$27,info!$A$25:$A$27,data!A51,info!$B$25:$B$27,data!F51)&lt;=0,1,SUMIFS(info!$C$25:$C$27,info!$A$25:$A$27,data!A51,info!$B$25:$B$27,data!F51))*H51</f>
        <v>1397538</v>
      </c>
      <c r="N51" s="10">
        <f t="shared" si="16"/>
        <v>1118030.4000000001</v>
      </c>
      <c r="O51" s="10">
        <f t="shared" si="17"/>
        <v>195655.32</v>
      </c>
      <c r="P51" s="10">
        <f t="shared" si="18"/>
        <v>223606.08000000005</v>
      </c>
      <c r="Q51" s="10">
        <f t="shared" si="19"/>
        <v>978276.6</v>
      </c>
      <c r="R51" s="10">
        <f t="shared" si="20"/>
        <v>782621.28</v>
      </c>
      <c r="S51" s="10">
        <f t="shared" si="21"/>
        <v>0</v>
      </c>
      <c r="T51" s="10">
        <f t="shared" si="52"/>
        <v>0</v>
      </c>
      <c r="U51" s="10">
        <f t="shared" si="52"/>
        <v>0</v>
      </c>
      <c r="V51" s="10">
        <f t="shared" si="52"/>
        <v>0</v>
      </c>
      <c r="W51" s="10">
        <f t="shared" si="52"/>
        <v>1278842.9917808219</v>
      </c>
      <c r="X51" s="10">
        <f t="shared" si="52"/>
        <v>930415.70958904107</v>
      </c>
      <c r="Y51" s="10">
        <f t="shared" si="52"/>
        <v>578159.55616438354</v>
      </c>
      <c r="Z51" s="10">
        <f t="shared" si="52"/>
        <v>225903.40273972604</v>
      </c>
      <c r="AA51" s="10"/>
      <c r="AB51" s="10"/>
      <c r="AC51">
        <f t="shared" si="51"/>
        <v>0</v>
      </c>
      <c r="AD51">
        <f t="shared" si="51"/>
        <v>0</v>
      </c>
      <c r="AE51">
        <f t="shared" si="51"/>
        <v>0</v>
      </c>
      <c r="AF51">
        <f t="shared" si="51"/>
        <v>0</v>
      </c>
      <c r="AG51">
        <f t="shared" si="51"/>
        <v>0</v>
      </c>
      <c r="AH51">
        <f t="shared" si="51"/>
        <v>0</v>
      </c>
      <c r="AI51">
        <f t="shared" si="51"/>
        <v>0</v>
      </c>
      <c r="AJ51">
        <f t="shared" si="51"/>
        <v>0</v>
      </c>
      <c r="AK51">
        <f t="shared" si="51"/>
        <v>0</v>
      </c>
      <c r="AL51">
        <f t="shared" si="51"/>
        <v>0</v>
      </c>
      <c r="AM51">
        <f t="shared" si="51"/>
        <v>0</v>
      </c>
      <c r="AN51">
        <f t="shared" si="51"/>
        <v>365</v>
      </c>
      <c r="AO51">
        <f t="shared" si="51"/>
        <v>334</v>
      </c>
      <c r="AP51">
        <f t="shared" si="51"/>
        <v>304</v>
      </c>
      <c r="AQ51">
        <f t="shared" si="51"/>
        <v>273</v>
      </c>
      <c r="AR51">
        <f t="shared" si="42"/>
        <v>243</v>
      </c>
      <c r="AS51">
        <f t="shared" si="41"/>
        <v>212</v>
      </c>
      <c r="AT51">
        <f t="shared" si="41"/>
        <v>181</v>
      </c>
      <c r="AU51">
        <f t="shared" si="41"/>
        <v>151</v>
      </c>
      <c r="AV51">
        <f t="shared" si="41"/>
        <v>120</v>
      </c>
      <c r="AW51">
        <f t="shared" si="41"/>
        <v>90</v>
      </c>
      <c r="AX51">
        <f t="shared" si="41"/>
        <v>59</v>
      </c>
      <c r="AY51">
        <f t="shared" si="43"/>
        <v>0</v>
      </c>
      <c r="AZ51">
        <f t="shared" si="44"/>
        <v>0</v>
      </c>
      <c r="BA51">
        <f t="shared" si="45"/>
        <v>0</v>
      </c>
      <c r="BB51">
        <f t="shared" si="46"/>
        <v>0</v>
      </c>
      <c r="BC51">
        <f t="shared" si="47"/>
        <v>0</v>
      </c>
      <c r="BD51">
        <f t="shared" si="48"/>
        <v>0</v>
      </c>
      <c r="BE51">
        <f t="shared" si="49"/>
        <v>0</v>
      </c>
      <c r="BF51">
        <f t="shared" si="50"/>
        <v>0</v>
      </c>
      <c r="BG51">
        <f t="shared" si="23"/>
        <v>0</v>
      </c>
      <c r="BH51">
        <f t="shared" si="24"/>
        <v>0</v>
      </c>
      <c r="BI51">
        <f t="shared" si="25"/>
        <v>0</v>
      </c>
      <c r="BJ51">
        <f t="shared" si="26"/>
        <v>365</v>
      </c>
      <c r="BK51">
        <f t="shared" si="27"/>
        <v>334</v>
      </c>
      <c r="BL51">
        <f t="shared" si="28"/>
        <v>304</v>
      </c>
      <c r="BM51">
        <f t="shared" si="29"/>
        <v>273</v>
      </c>
      <c r="BN51">
        <f t="shared" si="30"/>
        <v>243</v>
      </c>
      <c r="BO51">
        <f t="shared" si="31"/>
        <v>212</v>
      </c>
      <c r="BP51">
        <f t="shared" si="32"/>
        <v>181</v>
      </c>
      <c r="BQ51">
        <f t="shared" si="33"/>
        <v>151</v>
      </c>
      <c r="BR51">
        <f t="shared" si="34"/>
        <v>120</v>
      </c>
      <c r="BS51">
        <f t="shared" si="35"/>
        <v>90</v>
      </c>
      <c r="BT51">
        <f t="shared" si="36"/>
        <v>59</v>
      </c>
    </row>
    <row r="52" spans="1:72" ht="12.95" customHeight="1" x14ac:dyDescent="0.2">
      <c r="A52">
        <f t="shared" si="40"/>
        <v>2026</v>
      </c>
      <c r="B52">
        <f t="shared" si="13"/>
        <v>4</v>
      </c>
      <c r="C52">
        <f t="shared" si="14"/>
        <v>2</v>
      </c>
      <c r="D52" s="11">
        <f>prod!A49</f>
        <v>46113</v>
      </c>
      <c r="E52" s="11">
        <f t="shared" si="15"/>
        <v>46477</v>
      </c>
      <c r="F52" s="10" t="str">
        <f>prod!B49</f>
        <v>רכב רכוש</v>
      </c>
      <c r="G52" s="10" t="str">
        <f>prod!C49</f>
        <v xml:space="preserve">קסקו צד ג </v>
      </c>
      <c r="H52" s="10">
        <f>prod!D49</f>
        <v>1369587</v>
      </c>
      <c r="I52" s="10">
        <f>SUMIFS(info!C:C,info!$A:$A,data!$A52,info!$B:$B,data!$G52)</f>
        <v>0.14000000000000001</v>
      </c>
      <c r="J52" s="10">
        <f>SUMIFS(info!D:D,info!$A:$A,data!$A52,info!$B:$B,data!$G52)</f>
        <v>0.8</v>
      </c>
      <c r="K52" s="10">
        <f>SUMIFS(info!E:E,info!$A:$A,data!$A52,info!$B:$B,data!$G52)</f>
        <v>0.2</v>
      </c>
      <c r="L52" s="10">
        <f>SUMIFS(info!F:F,info!$A:$A,data!$A52,info!$B:$B,data!$G52)</f>
        <v>0.7</v>
      </c>
      <c r="M52" s="10">
        <f>IF(SUMIFS(info!$C$25:$C$27,info!$A$25:$A$27,data!A52,info!$B$25:$B$27,data!F52)&lt;=0,1,SUMIFS(info!$C$25:$C$27,info!$A$25:$A$27,data!A52,info!$B$25:$B$27,data!F52))*H52</f>
        <v>1369587</v>
      </c>
      <c r="N52" s="10">
        <f t="shared" si="16"/>
        <v>1095669.6000000001</v>
      </c>
      <c r="O52" s="10">
        <f t="shared" si="17"/>
        <v>191742.18000000002</v>
      </c>
      <c r="P52" s="10">
        <f t="shared" si="18"/>
        <v>219133.92000000004</v>
      </c>
      <c r="Q52" s="10">
        <f t="shared" si="19"/>
        <v>958710.89999999991</v>
      </c>
      <c r="R52" s="10">
        <f t="shared" si="20"/>
        <v>766968.72</v>
      </c>
      <c r="S52" s="10">
        <f t="shared" si="21"/>
        <v>0</v>
      </c>
      <c r="T52" s="10">
        <f t="shared" si="52"/>
        <v>0</v>
      </c>
      <c r="U52" s="10">
        <f t="shared" si="52"/>
        <v>0</v>
      </c>
      <c r="V52" s="10">
        <f t="shared" si="52"/>
        <v>0</v>
      </c>
      <c r="W52" s="10">
        <f t="shared" si="52"/>
        <v>0</v>
      </c>
      <c r="X52" s="10">
        <f t="shared" si="52"/>
        <v>1028128.3232876712</v>
      </c>
      <c r="Y52" s="10">
        <f t="shared" si="52"/>
        <v>682917.35342465749</v>
      </c>
      <c r="Z52" s="10">
        <f t="shared" si="52"/>
        <v>337706.38356164383</v>
      </c>
      <c r="AA52" s="10"/>
      <c r="AB52" s="10"/>
      <c r="AC52">
        <f t="shared" si="51"/>
        <v>0</v>
      </c>
      <c r="AD52">
        <f t="shared" si="51"/>
        <v>0</v>
      </c>
      <c r="AE52">
        <f t="shared" si="51"/>
        <v>0</v>
      </c>
      <c r="AF52">
        <f t="shared" si="51"/>
        <v>0</v>
      </c>
      <c r="AG52">
        <f t="shared" si="51"/>
        <v>0</v>
      </c>
      <c r="AH52">
        <f t="shared" si="51"/>
        <v>0</v>
      </c>
      <c r="AI52">
        <f t="shared" si="51"/>
        <v>0</v>
      </c>
      <c r="AJ52">
        <f t="shared" si="51"/>
        <v>0</v>
      </c>
      <c r="AK52">
        <f t="shared" si="51"/>
        <v>0</v>
      </c>
      <c r="AL52">
        <f t="shared" si="51"/>
        <v>0</v>
      </c>
      <c r="AM52">
        <f t="shared" si="51"/>
        <v>0</v>
      </c>
      <c r="AN52">
        <f t="shared" si="51"/>
        <v>0</v>
      </c>
      <c r="AO52">
        <f t="shared" si="51"/>
        <v>365</v>
      </c>
      <c r="AP52">
        <f t="shared" si="51"/>
        <v>335</v>
      </c>
      <c r="AQ52">
        <f t="shared" si="51"/>
        <v>304</v>
      </c>
      <c r="AR52">
        <f t="shared" si="42"/>
        <v>274</v>
      </c>
      <c r="AS52">
        <f t="shared" si="42"/>
        <v>243</v>
      </c>
      <c r="AT52">
        <f t="shared" si="42"/>
        <v>212</v>
      </c>
      <c r="AU52">
        <f t="shared" si="42"/>
        <v>182</v>
      </c>
      <c r="AV52">
        <f t="shared" si="42"/>
        <v>151</v>
      </c>
      <c r="AW52">
        <f t="shared" si="42"/>
        <v>121</v>
      </c>
      <c r="AX52">
        <f t="shared" si="42"/>
        <v>90</v>
      </c>
      <c r="AY52">
        <f t="shared" si="43"/>
        <v>0</v>
      </c>
      <c r="AZ52">
        <f t="shared" si="44"/>
        <v>0</v>
      </c>
      <c r="BA52">
        <f t="shared" si="45"/>
        <v>0</v>
      </c>
      <c r="BB52">
        <f t="shared" si="46"/>
        <v>0</v>
      </c>
      <c r="BC52">
        <f t="shared" si="47"/>
        <v>0</v>
      </c>
      <c r="BD52">
        <f t="shared" si="48"/>
        <v>0</v>
      </c>
      <c r="BE52">
        <f t="shared" si="49"/>
        <v>0</v>
      </c>
      <c r="BF52">
        <f t="shared" si="50"/>
        <v>0</v>
      </c>
      <c r="BG52">
        <f t="shared" si="23"/>
        <v>0</v>
      </c>
      <c r="BH52">
        <f t="shared" si="24"/>
        <v>0</v>
      </c>
      <c r="BI52">
        <f t="shared" si="25"/>
        <v>0</v>
      </c>
      <c r="BJ52">
        <f t="shared" si="26"/>
        <v>0</v>
      </c>
      <c r="BK52">
        <f t="shared" si="27"/>
        <v>365</v>
      </c>
      <c r="BL52">
        <f t="shared" si="28"/>
        <v>335</v>
      </c>
      <c r="BM52">
        <f t="shared" si="29"/>
        <v>304</v>
      </c>
      <c r="BN52">
        <f t="shared" si="30"/>
        <v>274</v>
      </c>
      <c r="BO52">
        <f t="shared" si="31"/>
        <v>243</v>
      </c>
      <c r="BP52">
        <f t="shared" si="32"/>
        <v>212</v>
      </c>
      <c r="BQ52">
        <f t="shared" si="33"/>
        <v>182</v>
      </c>
      <c r="BR52">
        <f t="shared" si="34"/>
        <v>151</v>
      </c>
      <c r="BS52">
        <f t="shared" si="35"/>
        <v>121</v>
      </c>
      <c r="BT52">
        <f t="shared" si="36"/>
        <v>90</v>
      </c>
    </row>
    <row r="53" spans="1:72" ht="12.95" customHeight="1" x14ac:dyDescent="0.2">
      <c r="A53">
        <f t="shared" si="40"/>
        <v>2026</v>
      </c>
      <c r="B53">
        <f t="shared" si="13"/>
        <v>5</v>
      </c>
      <c r="C53">
        <f t="shared" si="14"/>
        <v>2</v>
      </c>
      <c r="D53" s="11">
        <f>prod!A50</f>
        <v>46143</v>
      </c>
      <c r="E53" s="11">
        <f t="shared" si="15"/>
        <v>46507</v>
      </c>
      <c r="F53" s="10" t="str">
        <f>prod!B50</f>
        <v>רכב רכוש</v>
      </c>
      <c r="G53" s="10" t="str">
        <f>prod!C50</f>
        <v xml:space="preserve">קסקו צד ג </v>
      </c>
      <c r="H53" s="10">
        <f>prod!D50</f>
        <v>1342195</v>
      </c>
      <c r="I53" s="10">
        <f>SUMIFS(info!C:C,info!$A:$A,data!$A53,info!$B:$B,data!$G53)</f>
        <v>0.14000000000000001</v>
      </c>
      <c r="J53" s="10">
        <f>SUMIFS(info!D:D,info!$A:$A,data!$A53,info!$B:$B,data!$G53)</f>
        <v>0.8</v>
      </c>
      <c r="K53" s="10">
        <f>SUMIFS(info!E:E,info!$A:$A,data!$A53,info!$B:$B,data!$G53)</f>
        <v>0.2</v>
      </c>
      <c r="L53" s="10">
        <f>SUMIFS(info!F:F,info!$A:$A,data!$A53,info!$B:$B,data!$G53)</f>
        <v>0.7</v>
      </c>
      <c r="M53" s="10">
        <f>IF(SUMIFS(info!$C$25:$C$27,info!$A$25:$A$27,data!A53,info!$B$25:$B$27,data!F53)&lt;=0,1,SUMIFS(info!$C$25:$C$27,info!$A$25:$A$27,data!A53,info!$B$25:$B$27,data!F53))*H53</f>
        <v>1342195</v>
      </c>
      <c r="N53" s="10">
        <f t="shared" si="16"/>
        <v>1073756</v>
      </c>
      <c r="O53" s="10">
        <f t="shared" si="17"/>
        <v>187907.30000000002</v>
      </c>
      <c r="P53" s="10">
        <f t="shared" si="18"/>
        <v>214751.2</v>
      </c>
      <c r="Q53" s="10">
        <f t="shared" si="19"/>
        <v>939536.49999999988</v>
      </c>
      <c r="R53" s="10">
        <f t="shared" si="20"/>
        <v>751629.2</v>
      </c>
      <c r="S53" s="10">
        <f t="shared" si="21"/>
        <v>0</v>
      </c>
      <c r="T53" s="10">
        <f t="shared" si="52"/>
        <v>0</v>
      </c>
      <c r="U53" s="10">
        <f t="shared" si="52"/>
        <v>0</v>
      </c>
      <c r="V53" s="10">
        <f t="shared" si="52"/>
        <v>0</v>
      </c>
      <c r="W53" s="10">
        <f t="shared" si="52"/>
        <v>0</v>
      </c>
      <c r="X53" s="10">
        <f t="shared" si="52"/>
        <v>1117882.9589041097</v>
      </c>
      <c r="Y53" s="10">
        <f t="shared" si="52"/>
        <v>779576.27397260279</v>
      </c>
      <c r="Z53" s="10">
        <f t="shared" si="52"/>
        <v>441269.58904109587</v>
      </c>
      <c r="AA53" s="10"/>
      <c r="AB53" s="10"/>
      <c r="AC53">
        <f t="shared" si="51"/>
        <v>0</v>
      </c>
      <c r="AD53">
        <f t="shared" si="51"/>
        <v>0</v>
      </c>
      <c r="AE53">
        <f t="shared" si="51"/>
        <v>0</v>
      </c>
      <c r="AF53">
        <f t="shared" si="51"/>
        <v>0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365</v>
      </c>
      <c r="AQ53">
        <f t="shared" si="51"/>
        <v>334</v>
      </c>
      <c r="AR53">
        <f t="shared" si="51"/>
        <v>304</v>
      </c>
      <c r="AS53">
        <f t="shared" ref="AS53:AX68" si="53">IF(($E53-AS$4)&gt;365,0,($E53-AS$4))</f>
        <v>273</v>
      </c>
      <c r="AT53">
        <f t="shared" si="53"/>
        <v>242</v>
      </c>
      <c r="AU53">
        <f t="shared" si="53"/>
        <v>212</v>
      </c>
      <c r="AV53">
        <f t="shared" si="53"/>
        <v>181</v>
      </c>
      <c r="AW53">
        <f t="shared" si="53"/>
        <v>151</v>
      </c>
      <c r="AX53">
        <f t="shared" si="53"/>
        <v>120</v>
      </c>
      <c r="AY53">
        <f t="shared" si="43"/>
        <v>0</v>
      </c>
      <c r="AZ53">
        <f t="shared" si="44"/>
        <v>0</v>
      </c>
      <c r="BA53">
        <f t="shared" si="45"/>
        <v>0</v>
      </c>
      <c r="BB53">
        <f t="shared" si="46"/>
        <v>0</v>
      </c>
      <c r="BC53">
        <f t="shared" si="47"/>
        <v>0</v>
      </c>
      <c r="BD53">
        <f t="shared" si="48"/>
        <v>0</v>
      </c>
      <c r="BE53">
        <f t="shared" si="49"/>
        <v>0</v>
      </c>
      <c r="BF53">
        <f t="shared" si="50"/>
        <v>0</v>
      </c>
      <c r="BG53">
        <f t="shared" si="23"/>
        <v>0</v>
      </c>
      <c r="BH53">
        <f t="shared" si="24"/>
        <v>0</v>
      </c>
      <c r="BI53">
        <f t="shared" si="25"/>
        <v>0</v>
      </c>
      <c r="BJ53">
        <f t="shared" si="26"/>
        <v>0</v>
      </c>
      <c r="BK53">
        <f t="shared" si="27"/>
        <v>0</v>
      </c>
      <c r="BL53">
        <f t="shared" si="28"/>
        <v>365</v>
      </c>
      <c r="BM53">
        <f t="shared" si="29"/>
        <v>334</v>
      </c>
      <c r="BN53">
        <f t="shared" si="30"/>
        <v>304</v>
      </c>
      <c r="BO53">
        <f t="shared" si="31"/>
        <v>273</v>
      </c>
      <c r="BP53">
        <f t="shared" si="32"/>
        <v>242</v>
      </c>
      <c r="BQ53">
        <f t="shared" si="33"/>
        <v>212</v>
      </c>
      <c r="BR53">
        <f t="shared" si="34"/>
        <v>181</v>
      </c>
      <c r="BS53">
        <f t="shared" si="35"/>
        <v>151</v>
      </c>
      <c r="BT53">
        <f t="shared" si="36"/>
        <v>120</v>
      </c>
    </row>
    <row r="54" spans="1:72" ht="12.95" customHeight="1" x14ac:dyDescent="0.2">
      <c r="A54">
        <f t="shared" si="40"/>
        <v>2026</v>
      </c>
      <c r="B54">
        <f t="shared" si="13"/>
        <v>6</v>
      </c>
      <c r="C54">
        <f t="shared" si="14"/>
        <v>2</v>
      </c>
      <c r="D54" s="11">
        <f>prod!A51</f>
        <v>46174</v>
      </c>
      <c r="E54" s="11">
        <f t="shared" si="15"/>
        <v>46538</v>
      </c>
      <c r="F54" s="10" t="str">
        <f>prod!B51</f>
        <v>רכב רכוש</v>
      </c>
      <c r="G54" s="10" t="str">
        <f>prod!C51</f>
        <v xml:space="preserve">קסקו צד ג </v>
      </c>
      <c r="H54" s="10">
        <f>prod!D51</f>
        <v>1507034</v>
      </c>
      <c r="I54" s="10">
        <f>SUMIFS(info!C:C,info!$A:$A,data!$A54,info!$B:$B,data!$G54)</f>
        <v>0.14000000000000001</v>
      </c>
      <c r="J54" s="10">
        <f>SUMIFS(info!D:D,info!$A:$A,data!$A54,info!$B:$B,data!$G54)</f>
        <v>0.8</v>
      </c>
      <c r="K54" s="10">
        <f>SUMIFS(info!E:E,info!$A:$A,data!$A54,info!$B:$B,data!$G54)</f>
        <v>0.2</v>
      </c>
      <c r="L54" s="10">
        <f>SUMIFS(info!F:F,info!$A:$A,data!$A54,info!$B:$B,data!$G54)</f>
        <v>0.7</v>
      </c>
      <c r="M54" s="10">
        <f>IF(SUMIFS(info!$C$25:$C$27,info!$A$25:$A$27,data!A54,info!$B$25:$B$27,data!F54)&lt;=0,1,SUMIFS(info!$C$25:$C$27,info!$A$25:$A$27,data!A54,info!$B$25:$B$27,data!F54))*H54</f>
        <v>1507034</v>
      </c>
      <c r="N54" s="10">
        <f t="shared" si="16"/>
        <v>1205627.2</v>
      </c>
      <c r="O54" s="10">
        <f t="shared" si="17"/>
        <v>210984.76</v>
      </c>
      <c r="P54" s="10">
        <f t="shared" si="18"/>
        <v>241125.44</v>
      </c>
      <c r="Q54" s="10">
        <f t="shared" si="19"/>
        <v>1054923.8</v>
      </c>
      <c r="R54" s="10">
        <f t="shared" si="20"/>
        <v>843939.04</v>
      </c>
      <c r="S54" s="10">
        <f t="shared" si="21"/>
        <v>0</v>
      </c>
      <c r="T54" s="10">
        <f t="shared" si="52"/>
        <v>0</v>
      </c>
      <c r="U54" s="10">
        <f t="shared" si="52"/>
        <v>0</v>
      </c>
      <c r="V54" s="10">
        <f t="shared" si="52"/>
        <v>0</v>
      </c>
      <c r="W54" s="10">
        <f t="shared" si="52"/>
        <v>0</v>
      </c>
      <c r="X54" s="10">
        <f t="shared" si="52"/>
        <v>1383168.1917808219</v>
      </c>
      <c r="Y54" s="10">
        <f t="shared" si="52"/>
        <v>1003313.0465753424</v>
      </c>
      <c r="Z54" s="10">
        <f t="shared" si="52"/>
        <v>623457.90136986296</v>
      </c>
      <c r="AA54" s="10"/>
      <c r="AB54" s="10"/>
      <c r="AC54">
        <f t="shared" ref="AC54:AR69" si="54">IF(($E54-AC$4)&gt;365,0,($E54-AC$4))</f>
        <v>0</v>
      </c>
      <c r="AD54">
        <f t="shared" si="54"/>
        <v>0</v>
      </c>
      <c r="AE54">
        <f t="shared" si="54"/>
        <v>0</v>
      </c>
      <c r="AF54">
        <f t="shared" si="54"/>
        <v>0</v>
      </c>
      <c r="AG54">
        <f t="shared" si="54"/>
        <v>0</v>
      </c>
      <c r="AH54">
        <f t="shared" si="54"/>
        <v>0</v>
      </c>
      <c r="AI54">
        <f t="shared" si="54"/>
        <v>0</v>
      </c>
      <c r="AJ54">
        <f t="shared" si="54"/>
        <v>0</v>
      </c>
      <c r="AK54">
        <f t="shared" si="54"/>
        <v>0</v>
      </c>
      <c r="AL54">
        <f t="shared" si="54"/>
        <v>0</v>
      </c>
      <c r="AM54">
        <f t="shared" si="54"/>
        <v>0</v>
      </c>
      <c r="AN54">
        <f t="shared" si="54"/>
        <v>0</v>
      </c>
      <c r="AO54">
        <f t="shared" si="54"/>
        <v>0</v>
      </c>
      <c r="AP54">
        <f t="shared" si="54"/>
        <v>0</v>
      </c>
      <c r="AQ54">
        <f t="shared" si="54"/>
        <v>365</v>
      </c>
      <c r="AR54">
        <f t="shared" si="54"/>
        <v>335</v>
      </c>
      <c r="AS54">
        <f t="shared" si="53"/>
        <v>304</v>
      </c>
      <c r="AT54">
        <f t="shared" si="53"/>
        <v>273</v>
      </c>
      <c r="AU54">
        <f t="shared" si="53"/>
        <v>243</v>
      </c>
      <c r="AV54">
        <f t="shared" si="53"/>
        <v>212</v>
      </c>
      <c r="AW54">
        <f t="shared" si="53"/>
        <v>182</v>
      </c>
      <c r="AX54">
        <f t="shared" si="53"/>
        <v>151</v>
      </c>
      <c r="AY54">
        <f t="shared" si="43"/>
        <v>0</v>
      </c>
      <c r="AZ54">
        <f t="shared" si="44"/>
        <v>0</v>
      </c>
      <c r="BA54">
        <f t="shared" si="45"/>
        <v>0</v>
      </c>
      <c r="BB54">
        <f t="shared" si="46"/>
        <v>0</v>
      </c>
      <c r="BC54">
        <f t="shared" si="47"/>
        <v>0</v>
      </c>
      <c r="BD54">
        <f t="shared" si="48"/>
        <v>0</v>
      </c>
      <c r="BE54">
        <f t="shared" si="49"/>
        <v>0</v>
      </c>
      <c r="BF54">
        <f t="shared" si="50"/>
        <v>0</v>
      </c>
      <c r="BG54">
        <f t="shared" si="23"/>
        <v>0</v>
      </c>
      <c r="BH54">
        <f t="shared" si="24"/>
        <v>0</v>
      </c>
      <c r="BI54">
        <f t="shared" si="25"/>
        <v>0</v>
      </c>
      <c r="BJ54">
        <f t="shared" si="26"/>
        <v>0</v>
      </c>
      <c r="BK54">
        <f t="shared" si="27"/>
        <v>0</v>
      </c>
      <c r="BL54">
        <f t="shared" si="28"/>
        <v>0</v>
      </c>
      <c r="BM54">
        <f t="shared" si="29"/>
        <v>365</v>
      </c>
      <c r="BN54">
        <f t="shared" si="30"/>
        <v>335</v>
      </c>
      <c r="BO54">
        <f t="shared" si="31"/>
        <v>304</v>
      </c>
      <c r="BP54">
        <f t="shared" si="32"/>
        <v>273</v>
      </c>
      <c r="BQ54">
        <f t="shared" si="33"/>
        <v>243</v>
      </c>
      <c r="BR54">
        <f t="shared" si="34"/>
        <v>212</v>
      </c>
      <c r="BS54">
        <f t="shared" si="35"/>
        <v>182</v>
      </c>
      <c r="BT54">
        <f t="shared" si="36"/>
        <v>151</v>
      </c>
    </row>
    <row r="55" spans="1:72" ht="12.95" customHeight="1" x14ac:dyDescent="0.2">
      <c r="A55">
        <f t="shared" si="40"/>
        <v>2026</v>
      </c>
      <c r="B55">
        <f t="shared" si="13"/>
        <v>7</v>
      </c>
      <c r="C55">
        <f t="shared" si="14"/>
        <v>3</v>
      </c>
      <c r="D55" s="11">
        <f>prod!A52</f>
        <v>46204</v>
      </c>
      <c r="E55" s="11">
        <f t="shared" si="15"/>
        <v>46568</v>
      </c>
      <c r="F55" s="10" t="str">
        <f>prod!B52</f>
        <v>רכב רכוש</v>
      </c>
      <c r="G55" s="10" t="str">
        <f>prod!C52</f>
        <v xml:space="preserve">קסקו צד ג </v>
      </c>
      <c r="H55" s="10">
        <f>prod!D52</f>
        <v>1343965</v>
      </c>
      <c r="I55" s="10">
        <f>SUMIFS(info!C:C,info!$A:$A,data!$A55,info!$B:$B,data!$G55)</f>
        <v>0.14000000000000001</v>
      </c>
      <c r="J55" s="10">
        <f>SUMIFS(info!D:D,info!$A:$A,data!$A55,info!$B:$B,data!$G55)</f>
        <v>0.8</v>
      </c>
      <c r="K55" s="10">
        <f>SUMIFS(info!E:E,info!$A:$A,data!$A55,info!$B:$B,data!$G55)</f>
        <v>0.2</v>
      </c>
      <c r="L55" s="10">
        <f>SUMIFS(info!F:F,info!$A:$A,data!$A55,info!$B:$B,data!$G55)</f>
        <v>0.7</v>
      </c>
      <c r="M55" s="10">
        <f>IF(SUMIFS(info!$C$25:$C$27,info!$A$25:$A$27,data!A55,info!$B$25:$B$27,data!F55)&lt;=0,1,SUMIFS(info!$C$25:$C$27,info!$A$25:$A$27,data!A55,info!$B$25:$B$27,data!F55))*H55</f>
        <v>1343965</v>
      </c>
      <c r="N55" s="10">
        <f t="shared" si="16"/>
        <v>1075172</v>
      </c>
      <c r="O55" s="10">
        <f t="shared" si="17"/>
        <v>188155.1</v>
      </c>
      <c r="P55" s="10">
        <f t="shared" si="18"/>
        <v>215034.40000000002</v>
      </c>
      <c r="Q55" s="10">
        <f t="shared" si="19"/>
        <v>940775.49999999988</v>
      </c>
      <c r="R55" s="10">
        <f t="shared" si="20"/>
        <v>752620.39999999991</v>
      </c>
      <c r="S55" s="10">
        <f t="shared" si="21"/>
        <v>0</v>
      </c>
      <c r="T55" s="10">
        <f t="shared" si="52"/>
        <v>0</v>
      </c>
      <c r="U55" s="10">
        <f t="shared" si="52"/>
        <v>0</v>
      </c>
      <c r="V55" s="10">
        <f t="shared" si="52"/>
        <v>0</v>
      </c>
      <c r="W55" s="10">
        <f t="shared" si="52"/>
        <v>0</v>
      </c>
      <c r="X55" s="10">
        <f t="shared" si="52"/>
        <v>0</v>
      </c>
      <c r="Y55" s="10">
        <f t="shared" si="52"/>
        <v>1005212.1780821917</v>
      </c>
      <c r="Z55" s="10">
        <f t="shared" si="52"/>
        <v>666459.35616438359</v>
      </c>
      <c r="AA55" s="10"/>
      <c r="AB55" s="10"/>
      <c r="AC55">
        <f t="shared" si="54"/>
        <v>0</v>
      </c>
      <c r="AD55">
        <f t="shared" si="54"/>
        <v>0</v>
      </c>
      <c r="AE55">
        <f t="shared" si="54"/>
        <v>0</v>
      </c>
      <c r="AF55">
        <f t="shared" si="54"/>
        <v>0</v>
      </c>
      <c r="AG55">
        <f t="shared" si="54"/>
        <v>0</v>
      </c>
      <c r="AH55">
        <f t="shared" si="54"/>
        <v>0</v>
      </c>
      <c r="AI55">
        <f t="shared" si="54"/>
        <v>0</v>
      </c>
      <c r="AJ55">
        <f t="shared" si="54"/>
        <v>0</v>
      </c>
      <c r="AK55">
        <f t="shared" si="54"/>
        <v>0</v>
      </c>
      <c r="AL55">
        <f t="shared" si="54"/>
        <v>0</v>
      </c>
      <c r="AM55">
        <f t="shared" si="54"/>
        <v>0</v>
      </c>
      <c r="AN55">
        <f t="shared" si="54"/>
        <v>0</v>
      </c>
      <c r="AO55">
        <f t="shared" si="54"/>
        <v>0</v>
      </c>
      <c r="AP55">
        <f t="shared" si="54"/>
        <v>0</v>
      </c>
      <c r="AQ55">
        <f t="shared" si="54"/>
        <v>0</v>
      </c>
      <c r="AR55">
        <f t="shared" si="54"/>
        <v>365</v>
      </c>
      <c r="AS55">
        <f t="shared" si="53"/>
        <v>334</v>
      </c>
      <c r="AT55">
        <f t="shared" si="53"/>
        <v>303</v>
      </c>
      <c r="AU55">
        <f t="shared" si="53"/>
        <v>273</v>
      </c>
      <c r="AV55">
        <f t="shared" si="53"/>
        <v>242</v>
      </c>
      <c r="AW55">
        <f t="shared" si="53"/>
        <v>212</v>
      </c>
      <c r="AX55">
        <f t="shared" si="53"/>
        <v>181</v>
      </c>
      <c r="AY55">
        <f t="shared" si="43"/>
        <v>0</v>
      </c>
      <c r="AZ55">
        <f t="shared" si="44"/>
        <v>0</v>
      </c>
      <c r="BA55">
        <f t="shared" si="45"/>
        <v>0</v>
      </c>
      <c r="BB55">
        <f t="shared" si="46"/>
        <v>0</v>
      </c>
      <c r="BC55">
        <f t="shared" si="47"/>
        <v>0</v>
      </c>
      <c r="BD55">
        <f t="shared" si="48"/>
        <v>0</v>
      </c>
      <c r="BE55">
        <f t="shared" si="49"/>
        <v>0</v>
      </c>
      <c r="BF55">
        <f t="shared" si="50"/>
        <v>0</v>
      </c>
      <c r="BG55">
        <f t="shared" si="23"/>
        <v>0</v>
      </c>
      <c r="BH55">
        <f t="shared" si="24"/>
        <v>0</v>
      </c>
      <c r="BI55">
        <f t="shared" si="25"/>
        <v>0</v>
      </c>
      <c r="BJ55">
        <f t="shared" si="26"/>
        <v>0</v>
      </c>
      <c r="BK55">
        <f t="shared" si="27"/>
        <v>0</v>
      </c>
      <c r="BL55">
        <f t="shared" si="28"/>
        <v>0</v>
      </c>
      <c r="BM55">
        <f t="shared" si="29"/>
        <v>0</v>
      </c>
      <c r="BN55">
        <f t="shared" si="30"/>
        <v>365</v>
      </c>
      <c r="BO55">
        <f t="shared" si="31"/>
        <v>334</v>
      </c>
      <c r="BP55">
        <f t="shared" si="32"/>
        <v>303</v>
      </c>
      <c r="BQ55">
        <f t="shared" si="33"/>
        <v>273</v>
      </c>
      <c r="BR55">
        <f t="shared" si="34"/>
        <v>242</v>
      </c>
      <c r="BS55">
        <f t="shared" si="35"/>
        <v>212</v>
      </c>
      <c r="BT55">
        <f t="shared" si="36"/>
        <v>181</v>
      </c>
    </row>
    <row r="56" spans="1:72" ht="12.95" customHeight="1" x14ac:dyDescent="0.2">
      <c r="A56">
        <f t="shared" si="40"/>
        <v>2026</v>
      </c>
      <c r="B56">
        <f t="shared" si="13"/>
        <v>8</v>
      </c>
      <c r="C56">
        <f t="shared" si="14"/>
        <v>3</v>
      </c>
      <c r="D56" s="11">
        <f>prod!A53</f>
        <v>46235</v>
      </c>
      <c r="E56" s="11">
        <f t="shared" si="15"/>
        <v>46599</v>
      </c>
      <c r="F56" s="10" t="str">
        <f>prod!B53</f>
        <v>רכב רכוש</v>
      </c>
      <c r="G56" s="10" t="str">
        <f>prod!C53</f>
        <v xml:space="preserve">קסקו צד ג </v>
      </c>
      <c r="H56" s="10">
        <f>prod!D53</f>
        <v>1410248</v>
      </c>
      <c r="I56" s="10">
        <f>SUMIFS(info!C:C,info!$A:$A,data!$A56,info!$B:$B,data!$G56)</f>
        <v>0.14000000000000001</v>
      </c>
      <c r="J56" s="10">
        <f>SUMIFS(info!D:D,info!$A:$A,data!$A56,info!$B:$B,data!$G56)</f>
        <v>0.8</v>
      </c>
      <c r="K56" s="10">
        <f>SUMIFS(info!E:E,info!$A:$A,data!$A56,info!$B:$B,data!$G56)</f>
        <v>0.2</v>
      </c>
      <c r="L56" s="10">
        <f>SUMIFS(info!F:F,info!$A:$A,data!$A56,info!$B:$B,data!$G56)</f>
        <v>0.7</v>
      </c>
      <c r="M56" s="10">
        <f>IF(SUMIFS(info!$C$25:$C$27,info!$A$25:$A$27,data!A56,info!$B$25:$B$27,data!F56)&lt;=0,1,SUMIFS(info!$C$25:$C$27,info!$A$25:$A$27,data!A56,info!$B$25:$B$27,data!F56))*H56</f>
        <v>1410248</v>
      </c>
      <c r="N56" s="10">
        <f t="shared" si="16"/>
        <v>1128198.4000000001</v>
      </c>
      <c r="O56" s="10">
        <f t="shared" si="17"/>
        <v>197434.72000000003</v>
      </c>
      <c r="P56" s="10">
        <f t="shared" si="18"/>
        <v>225639.68000000005</v>
      </c>
      <c r="Q56" s="10">
        <f t="shared" si="19"/>
        <v>987173.6</v>
      </c>
      <c r="R56" s="10">
        <f t="shared" si="20"/>
        <v>789738.88</v>
      </c>
      <c r="S56" s="10">
        <f t="shared" si="21"/>
        <v>0</v>
      </c>
      <c r="T56" s="10">
        <f t="shared" si="52"/>
        <v>0</v>
      </c>
      <c r="U56" s="10">
        <f t="shared" si="52"/>
        <v>0</v>
      </c>
      <c r="V56" s="10">
        <f t="shared" si="52"/>
        <v>0</v>
      </c>
      <c r="W56" s="10">
        <f t="shared" si="52"/>
        <v>0</v>
      </c>
      <c r="X56" s="10">
        <f t="shared" si="52"/>
        <v>0</v>
      </c>
      <c r="Y56" s="10">
        <f t="shared" si="52"/>
        <v>1174562.7178082191</v>
      </c>
      <c r="Z56" s="10">
        <f t="shared" si="52"/>
        <v>819102.94794520549</v>
      </c>
      <c r="AA56" s="10"/>
      <c r="AB56" s="10"/>
      <c r="AC56">
        <f t="shared" si="54"/>
        <v>0</v>
      </c>
      <c r="AD56">
        <f t="shared" si="54"/>
        <v>0</v>
      </c>
      <c r="AE56">
        <f t="shared" si="54"/>
        <v>0</v>
      </c>
      <c r="AF56">
        <f t="shared" si="54"/>
        <v>0</v>
      </c>
      <c r="AG56">
        <f t="shared" si="54"/>
        <v>0</v>
      </c>
      <c r="AH56">
        <f t="shared" si="54"/>
        <v>0</v>
      </c>
      <c r="AI56">
        <f t="shared" si="54"/>
        <v>0</v>
      </c>
      <c r="AJ56">
        <f t="shared" si="54"/>
        <v>0</v>
      </c>
      <c r="AK56">
        <f t="shared" si="54"/>
        <v>0</v>
      </c>
      <c r="AL56">
        <f t="shared" si="54"/>
        <v>0</v>
      </c>
      <c r="AM56">
        <f t="shared" si="54"/>
        <v>0</v>
      </c>
      <c r="AN56">
        <f t="shared" si="54"/>
        <v>0</v>
      </c>
      <c r="AO56">
        <f t="shared" si="54"/>
        <v>0</v>
      </c>
      <c r="AP56">
        <f t="shared" si="54"/>
        <v>0</v>
      </c>
      <c r="AQ56">
        <f t="shared" si="54"/>
        <v>0</v>
      </c>
      <c r="AR56">
        <f t="shared" si="54"/>
        <v>0</v>
      </c>
      <c r="AS56">
        <f t="shared" si="53"/>
        <v>365</v>
      </c>
      <c r="AT56">
        <f t="shared" si="53"/>
        <v>334</v>
      </c>
      <c r="AU56">
        <f t="shared" si="53"/>
        <v>304</v>
      </c>
      <c r="AV56">
        <f t="shared" si="53"/>
        <v>273</v>
      </c>
      <c r="AW56">
        <f t="shared" si="53"/>
        <v>243</v>
      </c>
      <c r="AX56">
        <f t="shared" si="53"/>
        <v>212</v>
      </c>
      <c r="AY56">
        <f t="shared" si="43"/>
        <v>0</v>
      </c>
      <c r="AZ56">
        <f t="shared" si="44"/>
        <v>0</v>
      </c>
      <c r="BA56">
        <f t="shared" si="45"/>
        <v>0</v>
      </c>
      <c r="BB56">
        <f t="shared" si="46"/>
        <v>0</v>
      </c>
      <c r="BC56">
        <f t="shared" si="47"/>
        <v>0</v>
      </c>
      <c r="BD56">
        <f t="shared" si="48"/>
        <v>0</v>
      </c>
      <c r="BE56">
        <f t="shared" si="49"/>
        <v>0</v>
      </c>
      <c r="BF56">
        <f t="shared" si="50"/>
        <v>0</v>
      </c>
      <c r="BG56">
        <f t="shared" si="23"/>
        <v>0</v>
      </c>
      <c r="BH56">
        <f t="shared" si="24"/>
        <v>0</v>
      </c>
      <c r="BI56">
        <f t="shared" si="25"/>
        <v>0</v>
      </c>
      <c r="BJ56">
        <f t="shared" si="26"/>
        <v>0</v>
      </c>
      <c r="BK56">
        <f t="shared" si="27"/>
        <v>0</v>
      </c>
      <c r="BL56">
        <f t="shared" si="28"/>
        <v>0</v>
      </c>
      <c r="BM56">
        <f t="shared" si="29"/>
        <v>0</v>
      </c>
      <c r="BN56">
        <f t="shared" si="30"/>
        <v>0</v>
      </c>
      <c r="BO56">
        <f t="shared" si="31"/>
        <v>365</v>
      </c>
      <c r="BP56">
        <f t="shared" si="32"/>
        <v>334</v>
      </c>
      <c r="BQ56">
        <f t="shared" si="33"/>
        <v>304</v>
      </c>
      <c r="BR56">
        <f t="shared" si="34"/>
        <v>273</v>
      </c>
      <c r="BS56">
        <f t="shared" si="35"/>
        <v>243</v>
      </c>
      <c r="BT56">
        <f t="shared" si="36"/>
        <v>212</v>
      </c>
    </row>
    <row r="57" spans="1:72" ht="12.95" customHeight="1" x14ac:dyDescent="0.2">
      <c r="A57">
        <f t="shared" si="40"/>
        <v>2026</v>
      </c>
      <c r="B57">
        <f t="shared" si="13"/>
        <v>9</v>
      </c>
      <c r="C57">
        <f t="shared" si="14"/>
        <v>3</v>
      </c>
      <c r="D57" s="11">
        <f>prod!A54</f>
        <v>46266</v>
      </c>
      <c r="E57" s="11">
        <f t="shared" si="15"/>
        <v>46630</v>
      </c>
      <c r="F57" s="10" t="str">
        <f>prod!B54</f>
        <v>רכב רכוש</v>
      </c>
      <c r="G57" s="10" t="str">
        <f>prod!C54</f>
        <v xml:space="preserve">קסקו צד ג </v>
      </c>
      <c r="H57" s="10">
        <f>prod!D54</f>
        <v>2243461</v>
      </c>
      <c r="I57" s="10">
        <f>SUMIFS(info!C:C,info!$A:$A,data!$A57,info!$B:$B,data!$G57)</f>
        <v>0.14000000000000001</v>
      </c>
      <c r="J57" s="10">
        <f>SUMIFS(info!D:D,info!$A:$A,data!$A57,info!$B:$B,data!$G57)</f>
        <v>0.8</v>
      </c>
      <c r="K57" s="10">
        <f>SUMIFS(info!E:E,info!$A:$A,data!$A57,info!$B:$B,data!$G57)</f>
        <v>0.2</v>
      </c>
      <c r="L57" s="10">
        <f>SUMIFS(info!F:F,info!$A:$A,data!$A57,info!$B:$B,data!$G57)</f>
        <v>0.7</v>
      </c>
      <c r="M57" s="10">
        <f>IF(SUMIFS(info!$C$25:$C$27,info!$A$25:$A$27,data!A57,info!$B$25:$B$27,data!F57)&lt;=0,1,SUMIFS(info!$C$25:$C$27,info!$A$25:$A$27,data!A57,info!$B$25:$B$27,data!F57))*H57</f>
        <v>2243461</v>
      </c>
      <c r="N57" s="10">
        <f t="shared" si="16"/>
        <v>1794768.8</v>
      </c>
      <c r="O57" s="10">
        <f t="shared" si="17"/>
        <v>314084.54000000004</v>
      </c>
      <c r="P57" s="10">
        <f t="shared" si="18"/>
        <v>358953.76</v>
      </c>
      <c r="Q57" s="10">
        <f t="shared" si="19"/>
        <v>1570422.7</v>
      </c>
      <c r="R57" s="10">
        <f t="shared" si="20"/>
        <v>1256338.1599999999</v>
      </c>
      <c r="S57" s="10">
        <f t="shared" si="21"/>
        <v>0</v>
      </c>
      <c r="T57" s="10">
        <f t="shared" si="52"/>
        <v>0</v>
      </c>
      <c r="U57" s="10">
        <f t="shared" si="52"/>
        <v>0</v>
      </c>
      <c r="V57" s="10">
        <f t="shared" si="52"/>
        <v>0</v>
      </c>
      <c r="W57" s="10">
        <f t="shared" si="52"/>
        <v>0</v>
      </c>
      <c r="X57" s="10">
        <f t="shared" si="52"/>
        <v>0</v>
      </c>
      <c r="Y57" s="10">
        <f t="shared" si="52"/>
        <v>2059066.9452054794</v>
      </c>
      <c r="Z57" s="10">
        <f t="shared" si="52"/>
        <v>1493591.8438356165</v>
      </c>
      <c r="AA57" s="10"/>
      <c r="AB57" s="10"/>
      <c r="AC57">
        <f t="shared" si="54"/>
        <v>0</v>
      </c>
      <c r="AD57">
        <f t="shared" si="54"/>
        <v>0</v>
      </c>
      <c r="AE57">
        <f t="shared" si="54"/>
        <v>0</v>
      </c>
      <c r="AF57">
        <f t="shared" si="54"/>
        <v>0</v>
      </c>
      <c r="AG57">
        <f t="shared" si="54"/>
        <v>0</v>
      </c>
      <c r="AH57">
        <f t="shared" si="54"/>
        <v>0</v>
      </c>
      <c r="AI57">
        <f t="shared" si="54"/>
        <v>0</v>
      </c>
      <c r="AJ57">
        <f t="shared" si="54"/>
        <v>0</v>
      </c>
      <c r="AK57">
        <f t="shared" si="54"/>
        <v>0</v>
      </c>
      <c r="AL57">
        <f t="shared" si="54"/>
        <v>0</v>
      </c>
      <c r="AM57">
        <f t="shared" si="54"/>
        <v>0</v>
      </c>
      <c r="AN57">
        <f t="shared" si="54"/>
        <v>0</v>
      </c>
      <c r="AO57">
        <f t="shared" si="54"/>
        <v>0</v>
      </c>
      <c r="AP57">
        <f t="shared" si="54"/>
        <v>0</v>
      </c>
      <c r="AQ57">
        <f t="shared" si="54"/>
        <v>0</v>
      </c>
      <c r="AR57">
        <f t="shared" si="54"/>
        <v>0</v>
      </c>
      <c r="AS57">
        <f t="shared" si="53"/>
        <v>0</v>
      </c>
      <c r="AT57">
        <f t="shared" si="53"/>
        <v>365</v>
      </c>
      <c r="AU57">
        <f t="shared" si="53"/>
        <v>335</v>
      </c>
      <c r="AV57">
        <f t="shared" si="53"/>
        <v>304</v>
      </c>
      <c r="AW57">
        <f t="shared" si="53"/>
        <v>274</v>
      </c>
      <c r="AX57">
        <f t="shared" si="53"/>
        <v>243</v>
      </c>
      <c r="AY57">
        <f t="shared" si="43"/>
        <v>0</v>
      </c>
      <c r="AZ57">
        <f t="shared" si="44"/>
        <v>0</v>
      </c>
      <c r="BA57">
        <f t="shared" si="45"/>
        <v>0</v>
      </c>
      <c r="BB57">
        <f t="shared" si="46"/>
        <v>0</v>
      </c>
      <c r="BC57">
        <f t="shared" si="47"/>
        <v>0</v>
      </c>
      <c r="BD57">
        <f t="shared" si="48"/>
        <v>0</v>
      </c>
      <c r="BE57">
        <f t="shared" si="49"/>
        <v>0</v>
      </c>
      <c r="BF57">
        <f t="shared" si="50"/>
        <v>0</v>
      </c>
      <c r="BG57">
        <f t="shared" si="23"/>
        <v>0</v>
      </c>
      <c r="BH57">
        <f t="shared" si="24"/>
        <v>0</v>
      </c>
      <c r="BI57">
        <f t="shared" si="25"/>
        <v>0</v>
      </c>
      <c r="BJ57">
        <f t="shared" si="26"/>
        <v>0</v>
      </c>
      <c r="BK57">
        <f t="shared" si="27"/>
        <v>0</v>
      </c>
      <c r="BL57">
        <f t="shared" si="28"/>
        <v>0</v>
      </c>
      <c r="BM57">
        <f t="shared" si="29"/>
        <v>0</v>
      </c>
      <c r="BN57">
        <f t="shared" si="30"/>
        <v>0</v>
      </c>
      <c r="BO57">
        <f t="shared" si="31"/>
        <v>0</v>
      </c>
      <c r="BP57">
        <f t="shared" si="32"/>
        <v>365</v>
      </c>
      <c r="BQ57">
        <f t="shared" si="33"/>
        <v>335</v>
      </c>
      <c r="BR57">
        <f t="shared" si="34"/>
        <v>304</v>
      </c>
      <c r="BS57">
        <f t="shared" si="35"/>
        <v>274</v>
      </c>
      <c r="BT57">
        <f t="shared" si="36"/>
        <v>243</v>
      </c>
    </row>
    <row r="58" spans="1:72" ht="12.95" customHeight="1" x14ac:dyDescent="0.2">
      <c r="A58">
        <f t="shared" si="40"/>
        <v>2026</v>
      </c>
      <c r="B58">
        <f t="shared" si="13"/>
        <v>10</v>
      </c>
      <c r="C58">
        <f t="shared" si="14"/>
        <v>4</v>
      </c>
      <c r="D58" s="11">
        <f>prod!A55</f>
        <v>46296</v>
      </c>
      <c r="E58" s="11">
        <f t="shared" si="15"/>
        <v>46660</v>
      </c>
      <c r="F58" s="10" t="str">
        <f>prod!B55</f>
        <v>רכב רכוש</v>
      </c>
      <c r="G58" s="10" t="str">
        <f>prod!C55</f>
        <v xml:space="preserve">קסקו צד ג </v>
      </c>
      <c r="H58" s="10">
        <f>prod!D55</f>
        <v>2032615</v>
      </c>
      <c r="I58" s="10">
        <f>SUMIFS(info!C:C,info!$A:$A,data!$A58,info!$B:$B,data!$G58)</f>
        <v>0.14000000000000001</v>
      </c>
      <c r="J58" s="10">
        <f>SUMIFS(info!D:D,info!$A:$A,data!$A58,info!$B:$B,data!$G58)</f>
        <v>0.8</v>
      </c>
      <c r="K58" s="10">
        <f>SUMIFS(info!E:E,info!$A:$A,data!$A58,info!$B:$B,data!$G58)</f>
        <v>0.2</v>
      </c>
      <c r="L58" s="10">
        <f>SUMIFS(info!F:F,info!$A:$A,data!$A58,info!$B:$B,data!$G58)</f>
        <v>0.7</v>
      </c>
      <c r="M58" s="10">
        <f>IF(SUMIFS(info!$C$25:$C$27,info!$A$25:$A$27,data!A58,info!$B$25:$B$27,data!F58)&lt;=0,1,SUMIFS(info!$C$25:$C$27,info!$A$25:$A$27,data!A58,info!$B$25:$B$27,data!F58))*H58</f>
        <v>2032615</v>
      </c>
      <c r="N58" s="10">
        <f t="shared" si="16"/>
        <v>1626092</v>
      </c>
      <c r="O58" s="10">
        <f t="shared" si="17"/>
        <v>284566.10000000003</v>
      </c>
      <c r="P58" s="10">
        <f t="shared" si="18"/>
        <v>325218.40000000002</v>
      </c>
      <c r="Q58" s="10">
        <f t="shared" si="19"/>
        <v>1422830.5</v>
      </c>
      <c r="R58" s="10">
        <f t="shared" si="20"/>
        <v>1138264.4000000001</v>
      </c>
      <c r="S58" s="10">
        <f t="shared" si="21"/>
        <v>0</v>
      </c>
      <c r="T58" s="10">
        <f t="shared" si="52"/>
        <v>0</v>
      </c>
      <c r="U58" s="10">
        <f t="shared" si="52"/>
        <v>0</v>
      </c>
      <c r="V58" s="10">
        <f t="shared" si="52"/>
        <v>0</v>
      </c>
      <c r="W58" s="10">
        <f t="shared" si="52"/>
        <v>0</v>
      </c>
      <c r="X58" s="10">
        <f t="shared" si="52"/>
        <v>0</v>
      </c>
      <c r="Y58" s="10">
        <f t="shared" si="52"/>
        <v>0</v>
      </c>
      <c r="Z58" s="10">
        <f t="shared" si="52"/>
        <v>1520284.6438356165</v>
      </c>
      <c r="AA58" s="10"/>
      <c r="AB58" s="10"/>
      <c r="AC58">
        <f t="shared" si="54"/>
        <v>0</v>
      </c>
      <c r="AD58">
        <f t="shared" si="54"/>
        <v>0</v>
      </c>
      <c r="AE58">
        <f t="shared" si="54"/>
        <v>0</v>
      </c>
      <c r="AF58">
        <f t="shared" si="54"/>
        <v>0</v>
      </c>
      <c r="AG58">
        <f t="shared" si="54"/>
        <v>0</v>
      </c>
      <c r="AH58">
        <f t="shared" si="54"/>
        <v>0</v>
      </c>
      <c r="AI58">
        <f t="shared" si="54"/>
        <v>0</v>
      </c>
      <c r="AJ58">
        <f t="shared" si="54"/>
        <v>0</v>
      </c>
      <c r="AK58">
        <f t="shared" si="54"/>
        <v>0</v>
      </c>
      <c r="AL58">
        <f t="shared" si="54"/>
        <v>0</v>
      </c>
      <c r="AM58">
        <f t="shared" si="54"/>
        <v>0</v>
      </c>
      <c r="AN58">
        <f t="shared" si="54"/>
        <v>0</v>
      </c>
      <c r="AO58">
        <f t="shared" si="54"/>
        <v>0</v>
      </c>
      <c r="AP58">
        <f t="shared" si="54"/>
        <v>0</v>
      </c>
      <c r="AQ58">
        <f t="shared" si="54"/>
        <v>0</v>
      </c>
      <c r="AR58">
        <f t="shared" si="54"/>
        <v>0</v>
      </c>
      <c r="AS58">
        <f t="shared" si="53"/>
        <v>0</v>
      </c>
      <c r="AT58">
        <f t="shared" si="53"/>
        <v>0</v>
      </c>
      <c r="AU58">
        <f t="shared" si="53"/>
        <v>365</v>
      </c>
      <c r="AV58">
        <f t="shared" si="53"/>
        <v>334</v>
      </c>
      <c r="AW58">
        <f t="shared" si="53"/>
        <v>304</v>
      </c>
      <c r="AX58">
        <f t="shared" si="53"/>
        <v>273</v>
      </c>
      <c r="AY58">
        <f t="shared" si="43"/>
        <v>0</v>
      </c>
      <c r="AZ58">
        <f t="shared" si="44"/>
        <v>0</v>
      </c>
      <c r="BA58">
        <f t="shared" si="45"/>
        <v>0</v>
      </c>
      <c r="BB58">
        <f t="shared" si="46"/>
        <v>0</v>
      </c>
      <c r="BC58">
        <f t="shared" si="47"/>
        <v>0</v>
      </c>
      <c r="BD58">
        <f t="shared" si="48"/>
        <v>0</v>
      </c>
      <c r="BE58">
        <f t="shared" si="49"/>
        <v>0</v>
      </c>
      <c r="BF58">
        <f t="shared" si="50"/>
        <v>0</v>
      </c>
      <c r="BG58">
        <f t="shared" si="23"/>
        <v>0</v>
      </c>
      <c r="BH58">
        <f t="shared" si="24"/>
        <v>0</v>
      </c>
      <c r="BI58">
        <f t="shared" si="25"/>
        <v>0</v>
      </c>
      <c r="BJ58">
        <f t="shared" si="26"/>
        <v>0</v>
      </c>
      <c r="BK58">
        <f t="shared" si="27"/>
        <v>0</v>
      </c>
      <c r="BL58">
        <f t="shared" si="28"/>
        <v>0</v>
      </c>
      <c r="BM58">
        <f t="shared" si="29"/>
        <v>0</v>
      </c>
      <c r="BN58">
        <f t="shared" si="30"/>
        <v>0</v>
      </c>
      <c r="BO58">
        <f t="shared" si="31"/>
        <v>0</v>
      </c>
      <c r="BP58">
        <f t="shared" si="32"/>
        <v>0</v>
      </c>
      <c r="BQ58">
        <f t="shared" si="33"/>
        <v>365</v>
      </c>
      <c r="BR58">
        <f t="shared" si="34"/>
        <v>334</v>
      </c>
      <c r="BS58">
        <f t="shared" si="35"/>
        <v>304</v>
      </c>
      <c r="BT58">
        <f t="shared" si="36"/>
        <v>273</v>
      </c>
    </row>
    <row r="59" spans="1:72" ht="12.95" customHeight="1" x14ac:dyDescent="0.2">
      <c r="A59">
        <f t="shared" si="40"/>
        <v>2026</v>
      </c>
      <c r="B59">
        <f t="shared" si="13"/>
        <v>11</v>
      </c>
      <c r="C59">
        <f t="shared" si="14"/>
        <v>4</v>
      </c>
      <c r="D59" s="11">
        <f>prod!A56</f>
        <v>46327</v>
      </c>
      <c r="E59" s="11">
        <f t="shared" si="15"/>
        <v>46691</v>
      </c>
      <c r="F59" s="10" t="str">
        <f>prod!B56</f>
        <v>רכב רכוש</v>
      </c>
      <c r="G59" s="10" t="str">
        <f>prod!C56</f>
        <v xml:space="preserve">קסקו צד ג </v>
      </c>
      <c r="H59" s="10">
        <f>prod!D56</f>
        <v>2681790</v>
      </c>
      <c r="I59" s="10">
        <f>SUMIFS(info!C:C,info!$A:$A,data!$A59,info!$B:$B,data!$G59)</f>
        <v>0.14000000000000001</v>
      </c>
      <c r="J59" s="10">
        <f>SUMIFS(info!D:D,info!$A:$A,data!$A59,info!$B:$B,data!$G59)</f>
        <v>0.8</v>
      </c>
      <c r="K59" s="10">
        <f>SUMIFS(info!E:E,info!$A:$A,data!$A59,info!$B:$B,data!$G59)</f>
        <v>0.2</v>
      </c>
      <c r="L59" s="10">
        <f>SUMIFS(info!F:F,info!$A:$A,data!$A59,info!$B:$B,data!$G59)</f>
        <v>0.7</v>
      </c>
      <c r="M59" s="10">
        <f>IF(SUMIFS(info!$C$25:$C$27,info!$A$25:$A$27,data!A59,info!$B$25:$B$27,data!F59)&lt;=0,1,SUMIFS(info!$C$25:$C$27,info!$A$25:$A$27,data!A59,info!$B$25:$B$27,data!F59))*H59</f>
        <v>2681790</v>
      </c>
      <c r="N59" s="10">
        <f t="shared" si="16"/>
        <v>2145432</v>
      </c>
      <c r="O59" s="10">
        <f t="shared" si="17"/>
        <v>375450.60000000003</v>
      </c>
      <c r="P59" s="10">
        <f t="shared" si="18"/>
        <v>429086.4</v>
      </c>
      <c r="Q59" s="10">
        <f t="shared" si="19"/>
        <v>1877252.9999999998</v>
      </c>
      <c r="R59" s="10">
        <f t="shared" si="20"/>
        <v>1501802.4</v>
      </c>
      <c r="S59" s="10">
        <f t="shared" si="21"/>
        <v>0</v>
      </c>
      <c r="T59" s="10">
        <f t="shared" si="52"/>
        <v>0</v>
      </c>
      <c r="U59" s="10">
        <f t="shared" si="52"/>
        <v>0</v>
      </c>
      <c r="V59" s="10">
        <f t="shared" si="52"/>
        <v>0</v>
      </c>
      <c r="W59" s="10">
        <f t="shared" si="52"/>
        <v>0</v>
      </c>
      <c r="X59" s="10">
        <f t="shared" si="52"/>
        <v>0</v>
      </c>
      <c r="Y59" s="10">
        <f t="shared" si="52"/>
        <v>0</v>
      </c>
      <c r="Z59" s="10">
        <f t="shared" si="52"/>
        <v>2233600.4383561644</v>
      </c>
      <c r="AA59" s="10"/>
      <c r="AB59" s="10"/>
      <c r="AC59">
        <f t="shared" si="54"/>
        <v>0</v>
      </c>
      <c r="AD59">
        <f t="shared" si="54"/>
        <v>0</v>
      </c>
      <c r="AE59">
        <f t="shared" si="54"/>
        <v>0</v>
      </c>
      <c r="AF59">
        <f t="shared" si="54"/>
        <v>0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365</v>
      </c>
      <c r="AW59">
        <f t="shared" si="53"/>
        <v>335</v>
      </c>
      <c r="AX59">
        <f t="shared" si="53"/>
        <v>304</v>
      </c>
      <c r="AY59">
        <f t="shared" si="43"/>
        <v>0</v>
      </c>
      <c r="AZ59">
        <f t="shared" si="44"/>
        <v>0</v>
      </c>
      <c r="BA59">
        <f t="shared" si="45"/>
        <v>0</v>
      </c>
      <c r="BB59">
        <f t="shared" si="46"/>
        <v>0</v>
      </c>
      <c r="BC59">
        <f t="shared" si="47"/>
        <v>0</v>
      </c>
      <c r="BD59">
        <f t="shared" si="48"/>
        <v>0</v>
      </c>
      <c r="BE59">
        <f t="shared" si="49"/>
        <v>0</v>
      </c>
      <c r="BF59">
        <f t="shared" si="50"/>
        <v>0</v>
      </c>
      <c r="BG59">
        <f t="shared" si="23"/>
        <v>0</v>
      </c>
      <c r="BH59">
        <f t="shared" si="24"/>
        <v>0</v>
      </c>
      <c r="BI59">
        <f t="shared" si="25"/>
        <v>0</v>
      </c>
      <c r="BJ59">
        <f t="shared" si="26"/>
        <v>0</v>
      </c>
      <c r="BK59">
        <f t="shared" si="27"/>
        <v>0</v>
      </c>
      <c r="BL59">
        <f t="shared" si="28"/>
        <v>0</v>
      </c>
      <c r="BM59">
        <f t="shared" si="29"/>
        <v>0</v>
      </c>
      <c r="BN59">
        <f t="shared" si="30"/>
        <v>0</v>
      </c>
      <c r="BO59">
        <f t="shared" si="31"/>
        <v>0</v>
      </c>
      <c r="BP59">
        <f t="shared" si="32"/>
        <v>0</v>
      </c>
      <c r="BQ59">
        <f t="shared" si="33"/>
        <v>0</v>
      </c>
      <c r="BR59">
        <f t="shared" si="34"/>
        <v>365</v>
      </c>
      <c r="BS59">
        <f t="shared" si="35"/>
        <v>335</v>
      </c>
      <c r="BT59">
        <f t="shared" si="36"/>
        <v>304</v>
      </c>
    </row>
    <row r="60" spans="1:72" ht="12.95" customHeight="1" x14ac:dyDescent="0.2">
      <c r="A60">
        <f t="shared" si="40"/>
        <v>2026</v>
      </c>
      <c r="B60">
        <f t="shared" si="13"/>
        <v>12</v>
      </c>
      <c r="C60">
        <f t="shared" si="14"/>
        <v>4</v>
      </c>
      <c r="D60" s="11">
        <f>prod!A57</f>
        <v>46357</v>
      </c>
      <c r="E60" s="11">
        <f t="shared" si="15"/>
        <v>46721</v>
      </c>
      <c r="F60" s="10" t="str">
        <f>prod!B57</f>
        <v>רכב רכוש</v>
      </c>
      <c r="G60" s="10" t="str">
        <f>prod!C57</f>
        <v xml:space="preserve">קסקו צד ג </v>
      </c>
      <c r="H60" s="10">
        <f>prod!D57</f>
        <v>4882312</v>
      </c>
      <c r="I60" s="10">
        <f>SUMIFS(info!C:C,info!$A:$A,data!$A60,info!$B:$B,data!$G60)</f>
        <v>0.14000000000000001</v>
      </c>
      <c r="J60" s="10">
        <f>SUMIFS(info!D:D,info!$A:$A,data!$A60,info!$B:$B,data!$G60)</f>
        <v>0.8</v>
      </c>
      <c r="K60" s="10">
        <f>SUMIFS(info!E:E,info!$A:$A,data!$A60,info!$B:$B,data!$G60)</f>
        <v>0.2</v>
      </c>
      <c r="L60" s="10">
        <f>SUMIFS(info!F:F,info!$A:$A,data!$A60,info!$B:$B,data!$G60)</f>
        <v>0.7</v>
      </c>
      <c r="M60" s="10">
        <f>IF(SUMIFS(info!$C$25:$C$27,info!$A$25:$A$27,data!A60,info!$B$25:$B$27,data!F60)&lt;=0,1,SUMIFS(info!$C$25:$C$27,info!$A$25:$A$27,data!A60,info!$B$25:$B$27,data!F60))*H60</f>
        <v>4882312</v>
      </c>
      <c r="N60" s="10">
        <f t="shared" si="16"/>
        <v>3905849.6</v>
      </c>
      <c r="O60" s="10">
        <f t="shared" si="17"/>
        <v>683523.68</v>
      </c>
      <c r="P60" s="10">
        <f t="shared" si="18"/>
        <v>781169.92</v>
      </c>
      <c r="Q60" s="10">
        <f t="shared" si="19"/>
        <v>3417618.4</v>
      </c>
      <c r="R60" s="10">
        <f t="shared" si="20"/>
        <v>2734094.72</v>
      </c>
      <c r="S60" s="10">
        <f t="shared" si="21"/>
        <v>0</v>
      </c>
      <c r="T60" s="10">
        <f t="shared" si="52"/>
        <v>0</v>
      </c>
      <c r="U60" s="10">
        <f t="shared" si="52"/>
        <v>0</v>
      </c>
      <c r="V60" s="10">
        <f t="shared" si="52"/>
        <v>0</v>
      </c>
      <c r="W60" s="10">
        <f t="shared" si="52"/>
        <v>0</v>
      </c>
      <c r="X60" s="10">
        <f t="shared" si="52"/>
        <v>0</v>
      </c>
      <c r="Y60" s="10">
        <f t="shared" si="52"/>
        <v>0</v>
      </c>
      <c r="Z60" s="10">
        <f t="shared" si="52"/>
        <v>4467649.8849315066</v>
      </c>
      <c r="AA60" s="10"/>
      <c r="AB60" s="10"/>
      <c r="AC60">
        <f t="shared" si="54"/>
        <v>0</v>
      </c>
      <c r="AD60">
        <f t="shared" si="54"/>
        <v>0</v>
      </c>
      <c r="AE60">
        <f t="shared" si="54"/>
        <v>0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365</v>
      </c>
      <c r="AX60">
        <f t="shared" si="53"/>
        <v>334</v>
      </c>
      <c r="AY60">
        <f t="shared" si="43"/>
        <v>0</v>
      </c>
      <c r="AZ60">
        <f t="shared" si="44"/>
        <v>0</v>
      </c>
      <c r="BA60">
        <f t="shared" si="45"/>
        <v>0</v>
      </c>
      <c r="BB60">
        <f t="shared" si="46"/>
        <v>0</v>
      </c>
      <c r="BC60">
        <f t="shared" si="47"/>
        <v>0</v>
      </c>
      <c r="BD60">
        <f t="shared" si="48"/>
        <v>0</v>
      </c>
      <c r="BE60">
        <f t="shared" si="49"/>
        <v>0</v>
      </c>
      <c r="BF60">
        <f t="shared" si="50"/>
        <v>0</v>
      </c>
      <c r="BG60">
        <f t="shared" si="23"/>
        <v>0</v>
      </c>
      <c r="BH60">
        <f t="shared" si="24"/>
        <v>0</v>
      </c>
      <c r="BI60">
        <f t="shared" si="25"/>
        <v>0</v>
      </c>
      <c r="BJ60">
        <f t="shared" si="26"/>
        <v>0</v>
      </c>
      <c r="BK60">
        <f t="shared" si="27"/>
        <v>0</v>
      </c>
      <c r="BL60">
        <f t="shared" si="28"/>
        <v>0</v>
      </c>
      <c r="BM60">
        <f t="shared" si="29"/>
        <v>0</v>
      </c>
      <c r="BN60">
        <f t="shared" si="30"/>
        <v>0</v>
      </c>
      <c r="BO60">
        <f t="shared" si="31"/>
        <v>0</v>
      </c>
      <c r="BP60">
        <f t="shared" si="32"/>
        <v>0</v>
      </c>
      <c r="BQ60">
        <f t="shared" si="33"/>
        <v>0</v>
      </c>
      <c r="BR60">
        <f t="shared" si="34"/>
        <v>0</v>
      </c>
      <c r="BS60">
        <f t="shared" si="35"/>
        <v>365</v>
      </c>
      <c r="BT60">
        <f t="shared" si="36"/>
        <v>334</v>
      </c>
    </row>
    <row r="61" spans="1:72" ht="12.95" customHeight="1" x14ac:dyDescent="0.2">
      <c r="A61">
        <f t="shared" si="40"/>
        <v>2025</v>
      </c>
      <c r="B61">
        <f t="shared" si="13"/>
        <v>7</v>
      </c>
      <c r="C61">
        <f t="shared" si="14"/>
        <v>3</v>
      </c>
      <c r="D61" s="11">
        <f>prod!A58</f>
        <v>45839</v>
      </c>
      <c r="E61" s="11">
        <f t="shared" si="15"/>
        <v>46203</v>
      </c>
      <c r="F61" s="10" t="str">
        <f>prod!B58</f>
        <v>משאיות חובה</v>
      </c>
      <c r="G61" s="10" t="str">
        <f>prod!C58</f>
        <v xml:space="preserve">חובה משאיות </v>
      </c>
      <c r="H61" s="10">
        <f>prod!D58</f>
        <v>701076</v>
      </c>
      <c r="I61" s="10">
        <f>SUMIFS(info!C:C,info!$A:$A,data!$A61,info!$B:$B,data!$G61)</f>
        <v>0.05</v>
      </c>
      <c r="J61" s="10">
        <f>SUMIFS(info!D:D,info!$A:$A,data!$A61,info!$B:$B,data!$G61)</f>
        <v>0.95</v>
      </c>
      <c r="K61" s="10">
        <f>SUMIFS(info!E:E,info!$A:$A,data!$A61,info!$B:$B,data!$G61)</f>
        <v>0.15</v>
      </c>
      <c r="L61" s="10">
        <f>SUMIFS(info!F:F,info!$A:$A,data!$A61,info!$B:$B,data!$G61)</f>
        <v>0.9</v>
      </c>
      <c r="M61" s="10">
        <f>IF(SUMIFS(info!$C$25:$C$27,info!$A$25:$A$27,data!A61,info!$B$25:$B$27,data!F61)&lt;=0,1,SUMIFS(info!$C$25:$C$27,info!$A$25:$A$27,data!A61,info!$B$25:$B$27,data!F61))*H61</f>
        <v>701076</v>
      </c>
      <c r="N61" s="10">
        <f t="shared" si="16"/>
        <v>666022.19999999995</v>
      </c>
      <c r="O61" s="10">
        <f t="shared" si="17"/>
        <v>35053.800000000003</v>
      </c>
      <c r="P61" s="10">
        <f t="shared" si="18"/>
        <v>99903.329999999987</v>
      </c>
      <c r="Q61" s="10">
        <f t="shared" si="19"/>
        <v>630968.4</v>
      </c>
      <c r="R61" s="10">
        <f t="shared" si="20"/>
        <v>599419.98</v>
      </c>
      <c r="S61" s="10">
        <f t="shared" si="21"/>
        <v>0</v>
      </c>
      <c r="T61" s="10">
        <f t="shared" si="52"/>
        <v>0</v>
      </c>
      <c r="U61" s="10">
        <f t="shared" si="52"/>
        <v>524366.43287671229</v>
      </c>
      <c r="V61" s="10">
        <f t="shared" si="52"/>
        <v>347656.86575342464</v>
      </c>
      <c r="W61" s="10">
        <f t="shared" si="52"/>
        <v>174788.8109589041</v>
      </c>
      <c r="X61" s="10">
        <f t="shared" si="52"/>
        <v>0</v>
      </c>
      <c r="Y61" s="10">
        <f t="shared" si="52"/>
        <v>0</v>
      </c>
      <c r="Z61" s="10">
        <f t="shared" si="52"/>
        <v>0</v>
      </c>
      <c r="AA61" s="10"/>
      <c r="AB61" s="10"/>
      <c r="AC61">
        <f t="shared" si="54"/>
        <v>0</v>
      </c>
      <c r="AD61">
        <f t="shared" si="54"/>
        <v>0</v>
      </c>
      <c r="AE61">
        <f t="shared" si="54"/>
        <v>0</v>
      </c>
      <c r="AF61">
        <f t="shared" si="54"/>
        <v>365</v>
      </c>
      <c r="AG61">
        <f t="shared" si="54"/>
        <v>334</v>
      </c>
      <c r="AH61">
        <f t="shared" si="54"/>
        <v>303</v>
      </c>
      <c r="AI61">
        <f t="shared" si="54"/>
        <v>273</v>
      </c>
      <c r="AJ61">
        <f t="shared" si="54"/>
        <v>242</v>
      </c>
      <c r="AK61">
        <f t="shared" si="54"/>
        <v>212</v>
      </c>
      <c r="AL61">
        <f t="shared" si="54"/>
        <v>181</v>
      </c>
      <c r="AM61">
        <f t="shared" si="54"/>
        <v>150</v>
      </c>
      <c r="AN61">
        <f t="shared" si="54"/>
        <v>122</v>
      </c>
      <c r="AO61">
        <f t="shared" si="54"/>
        <v>91</v>
      </c>
      <c r="AP61">
        <f t="shared" si="54"/>
        <v>61</v>
      </c>
      <c r="AQ61">
        <f t="shared" si="54"/>
        <v>30</v>
      </c>
      <c r="AR61">
        <f t="shared" si="54"/>
        <v>0</v>
      </c>
      <c r="AS61">
        <f t="shared" si="53"/>
        <v>-31</v>
      </c>
      <c r="AT61">
        <f t="shared" si="53"/>
        <v>-62</v>
      </c>
      <c r="AU61">
        <f t="shared" si="53"/>
        <v>-92</v>
      </c>
      <c r="AV61">
        <f t="shared" si="53"/>
        <v>-123</v>
      </c>
      <c r="AW61">
        <f t="shared" si="53"/>
        <v>-153</v>
      </c>
      <c r="AX61">
        <f t="shared" si="53"/>
        <v>-184</v>
      </c>
      <c r="AY61">
        <f t="shared" si="43"/>
        <v>0</v>
      </c>
      <c r="AZ61">
        <f t="shared" si="44"/>
        <v>0</v>
      </c>
      <c r="BA61">
        <f t="shared" si="45"/>
        <v>0</v>
      </c>
      <c r="BB61">
        <f t="shared" si="46"/>
        <v>365</v>
      </c>
      <c r="BC61">
        <f t="shared" si="47"/>
        <v>334</v>
      </c>
      <c r="BD61">
        <f t="shared" si="48"/>
        <v>303</v>
      </c>
      <c r="BE61">
        <f t="shared" si="49"/>
        <v>273</v>
      </c>
      <c r="BF61">
        <f t="shared" si="50"/>
        <v>242</v>
      </c>
      <c r="BG61">
        <f t="shared" si="23"/>
        <v>212</v>
      </c>
      <c r="BH61">
        <f t="shared" si="24"/>
        <v>181</v>
      </c>
      <c r="BI61">
        <f t="shared" si="25"/>
        <v>150</v>
      </c>
      <c r="BJ61">
        <f t="shared" si="26"/>
        <v>122</v>
      </c>
      <c r="BK61">
        <f t="shared" si="27"/>
        <v>91</v>
      </c>
      <c r="BL61">
        <f t="shared" si="28"/>
        <v>61</v>
      </c>
      <c r="BM61">
        <f t="shared" si="29"/>
        <v>30</v>
      </c>
      <c r="BN61">
        <f t="shared" si="30"/>
        <v>0</v>
      </c>
      <c r="BO61">
        <f t="shared" si="31"/>
        <v>0</v>
      </c>
      <c r="BP61">
        <f t="shared" si="32"/>
        <v>0</v>
      </c>
      <c r="BQ61">
        <f t="shared" si="33"/>
        <v>0</v>
      </c>
      <c r="BR61">
        <f t="shared" si="34"/>
        <v>0</v>
      </c>
      <c r="BS61">
        <f t="shared" si="35"/>
        <v>0</v>
      </c>
      <c r="BT61">
        <f t="shared" si="36"/>
        <v>0</v>
      </c>
    </row>
    <row r="62" spans="1:72" ht="12.95" customHeight="1" x14ac:dyDescent="0.2">
      <c r="A62">
        <f t="shared" si="40"/>
        <v>2025</v>
      </c>
      <c r="B62">
        <f t="shared" si="13"/>
        <v>8</v>
      </c>
      <c r="C62">
        <f t="shared" si="14"/>
        <v>3</v>
      </c>
      <c r="D62" s="11">
        <f>prod!A59</f>
        <v>45870</v>
      </c>
      <c r="E62" s="11">
        <f t="shared" si="15"/>
        <v>46234</v>
      </c>
      <c r="F62" s="10" t="str">
        <f>prod!B59</f>
        <v>משאיות חובה</v>
      </c>
      <c r="G62" s="10" t="str">
        <f>prod!C59</f>
        <v xml:space="preserve">חובה משאיות </v>
      </c>
      <c r="H62" s="10">
        <f>prod!D59</f>
        <v>32032</v>
      </c>
      <c r="I62" s="10">
        <f>SUMIFS(info!C:C,info!$A:$A,data!$A62,info!$B:$B,data!$G62)</f>
        <v>0.05</v>
      </c>
      <c r="J62" s="10">
        <f>SUMIFS(info!D:D,info!$A:$A,data!$A62,info!$B:$B,data!$G62)</f>
        <v>0.95</v>
      </c>
      <c r="K62" s="10">
        <f>SUMIFS(info!E:E,info!$A:$A,data!$A62,info!$B:$B,data!$G62)</f>
        <v>0.15</v>
      </c>
      <c r="L62" s="10">
        <f>SUMIFS(info!F:F,info!$A:$A,data!$A62,info!$B:$B,data!$G62)</f>
        <v>0.9</v>
      </c>
      <c r="M62" s="10">
        <f>IF(SUMIFS(info!$C$25:$C$27,info!$A$25:$A$27,data!A62,info!$B$25:$B$27,data!F62)&lt;=0,1,SUMIFS(info!$C$25:$C$27,info!$A$25:$A$27,data!A62,info!$B$25:$B$27,data!F62))*H62</f>
        <v>32032</v>
      </c>
      <c r="N62" s="10">
        <f t="shared" si="16"/>
        <v>30430.399999999998</v>
      </c>
      <c r="O62" s="10">
        <f t="shared" si="17"/>
        <v>1601.6000000000001</v>
      </c>
      <c r="P62" s="10">
        <f t="shared" si="18"/>
        <v>4564.5599999999995</v>
      </c>
      <c r="Q62" s="10">
        <f t="shared" si="19"/>
        <v>28828.799999999999</v>
      </c>
      <c r="R62" s="10">
        <f t="shared" si="20"/>
        <v>27387.359999999997</v>
      </c>
      <c r="S62" s="10">
        <f t="shared" si="21"/>
        <v>0</v>
      </c>
      <c r="T62" s="10">
        <f t="shared" si="52"/>
        <v>0</v>
      </c>
      <c r="U62" s="10">
        <f t="shared" si="52"/>
        <v>26678.706849315069</v>
      </c>
      <c r="V62" s="10">
        <f t="shared" si="52"/>
        <v>18604.887671232878</v>
      </c>
      <c r="W62" s="10">
        <f t="shared" si="52"/>
        <v>10706.586301369864</v>
      </c>
      <c r="X62" s="10">
        <f t="shared" si="52"/>
        <v>2720.5260273972603</v>
      </c>
      <c r="Y62" s="10">
        <f t="shared" si="52"/>
        <v>0</v>
      </c>
      <c r="Z62" s="10">
        <f t="shared" si="52"/>
        <v>0</v>
      </c>
      <c r="AA62" s="10"/>
      <c r="AB62" s="10"/>
      <c r="AC62">
        <f t="shared" si="54"/>
        <v>0</v>
      </c>
      <c r="AD62">
        <f t="shared" si="54"/>
        <v>0</v>
      </c>
      <c r="AE62">
        <f t="shared" si="54"/>
        <v>0</v>
      </c>
      <c r="AF62">
        <f t="shared" si="54"/>
        <v>0</v>
      </c>
      <c r="AG62">
        <f t="shared" si="54"/>
        <v>365</v>
      </c>
      <c r="AH62">
        <f t="shared" si="54"/>
        <v>334</v>
      </c>
      <c r="AI62">
        <f t="shared" si="54"/>
        <v>304</v>
      </c>
      <c r="AJ62">
        <f t="shared" si="54"/>
        <v>273</v>
      </c>
      <c r="AK62">
        <f t="shared" si="54"/>
        <v>243</v>
      </c>
      <c r="AL62">
        <f t="shared" si="54"/>
        <v>212</v>
      </c>
      <c r="AM62">
        <f t="shared" si="54"/>
        <v>181</v>
      </c>
      <c r="AN62">
        <f t="shared" si="54"/>
        <v>153</v>
      </c>
      <c r="AO62">
        <f t="shared" si="54"/>
        <v>122</v>
      </c>
      <c r="AP62">
        <f t="shared" si="54"/>
        <v>92</v>
      </c>
      <c r="AQ62">
        <f t="shared" si="54"/>
        <v>61</v>
      </c>
      <c r="AR62">
        <f t="shared" si="54"/>
        <v>31</v>
      </c>
      <c r="AS62">
        <f t="shared" si="53"/>
        <v>0</v>
      </c>
      <c r="AT62">
        <f t="shared" si="53"/>
        <v>-31</v>
      </c>
      <c r="AU62">
        <f t="shared" si="53"/>
        <v>-61</v>
      </c>
      <c r="AV62">
        <f t="shared" si="53"/>
        <v>-92</v>
      </c>
      <c r="AW62">
        <f t="shared" si="53"/>
        <v>-122</v>
      </c>
      <c r="AX62">
        <f t="shared" si="53"/>
        <v>-153</v>
      </c>
      <c r="AY62">
        <f t="shared" si="43"/>
        <v>0</v>
      </c>
      <c r="AZ62">
        <f t="shared" si="44"/>
        <v>0</v>
      </c>
      <c r="BA62">
        <f t="shared" si="45"/>
        <v>0</v>
      </c>
      <c r="BB62">
        <f t="shared" si="46"/>
        <v>0</v>
      </c>
      <c r="BC62">
        <f t="shared" si="47"/>
        <v>365</v>
      </c>
      <c r="BD62">
        <f t="shared" si="48"/>
        <v>334</v>
      </c>
      <c r="BE62">
        <f t="shared" si="49"/>
        <v>304</v>
      </c>
      <c r="BF62">
        <f t="shared" si="50"/>
        <v>273</v>
      </c>
      <c r="BG62">
        <f t="shared" si="23"/>
        <v>243</v>
      </c>
      <c r="BH62">
        <f t="shared" si="24"/>
        <v>212</v>
      </c>
      <c r="BI62">
        <f t="shared" si="25"/>
        <v>181</v>
      </c>
      <c r="BJ62">
        <f t="shared" si="26"/>
        <v>153</v>
      </c>
      <c r="BK62">
        <f t="shared" si="27"/>
        <v>122</v>
      </c>
      <c r="BL62">
        <f t="shared" si="28"/>
        <v>92</v>
      </c>
      <c r="BM62">
        <f t="shared" si="29"/>
        <v>61</v>
      </c>
      <c r="BN62">
        <f t="shared" si="30"/>
        <v>31</v>
      </c>
      <c r="BO62">
        <f t="shared" si="31"/>
        <v>0</v>
      </c>
      <c r="BP62">
        <f t="shared" si="32"/>
        <v>0</v>
      </c>
      <c r="BQ62">
        <f t="shared" si="33"/>
        <v>0</v>
      </c>
      <c r="BR62">
        <f t="shared" si="34"/>
        <v>0</v>
      </c>
      <c r="BS62">
        <f t="shared" si="35"/>
        <v>0</v>
      </c>
      <c r="BT62">
        <f t="shared" si="36"/>
        <v>0</v>
      </c>
    </row>
    <row r="63" spans="1:72" ht="12.95" customHeight="1" x14ac:dyDescent="0.2">
      <c r="A63">
        <f t="shared" si="40"/>
        <v>2025</v>
      </c>
      <c r="B63">
        <f t="shared" si="13"/>
        <v>9</v>
      </c>
      <c r="C63">
        <f t="shared" si="14"/>
        <v>3</v>
      </c>
      <c r="D63" s="11">
        <f>prod!A60</f>
        <v>45901</v>
      </c>
      <c r="E63" s="11">
        <f t="shared" si="15"/>
        <v>46265</v>
      </c>
      <c r="F63" s="10" t="str">
        <f>prod!B60</f>
        <v>משאיות חובה</v>
      </c>
      <c r="G63" s="10" t="str">
        <f>prod!C60</f>
        <v xml:space="preserve">חובה משאיות </v>
      </c>
      <c r="H63" s="10">
        <f>prod!D60</f>
        <v>3694253</v>
      </c>
      <c r="I63" s="10">
        <f>SUMIFS(info!C:C,info!$A:$A,data!$A63,info!$B:$B,data!$G63)</f>
        <v>0.05</v>
      </c>
      <c r="J63" s="10">
        <f>SUMIFS(info!D:D,info!$A:$A,data!$A63,info!$B:$B,data!$G63)</f>
        <v>0.95</v>
      </c>
      <c r="K63" s="10">
        <f>SUMIFS(info!E:E,info!$A:$A,data!$A63,info!$B:$B,data!$G63)</f>
        <v>0.15</v>
      </c>
      <c r="L63" s="10">
        <f>SUMIFS(info!F:F,info!$A:$A,data!$A63,info!$B:$B,data!$G63)</f>
        <v>0.9</v>
      </c>
      <c r="M63" s="10">
        <f>IF(SUMIFS(info!$C$25:$C$27,info!$A$25:$A$27,data!A63,info!$B$25:$B$27,data!F63)&lt;=0,1,SUMIFS(info!$C$25:$C$27,info!$A$25:$A$27,data!A63,info!$B$25:$B$27,data!F63))*H63</f>
        <v>3694253</v>
      </c>
      <c r="N63" s="10">
        <f t="shared" si="16"/>
        <v>3509540.3499999996</v>
      </c>
      <c r="O63" s="10">
        <f t="shared" si="17"/>
        <v>184712.65000000002</v>
      </c>
      <c r="P63" s="10">
        <f t="shared" si="18"/>
        <v>526431.05249999987</v>
      </c>
      <c r="Q63" s="10">
        <f t="shared" si="19"/>
        <v>3324827.7</v>
      </c>
      <c r="R63" s="10">
        <f t="shared" si="20"/>
        <v>3158586.3149999999</v>
      </c>
      <c r="S63" s="10">
        <f t="shared" si="21"/>
        <v>0</v>
      </c>
      <c r="T63" s="10">
        <f t="shared" si="52"/>
        <v>0</v>
      </c>
      <c r="U63" s="10">
        <f t="shared" si="52"/>
        <v>3390615.7671232875</v>
      </c>
      <c r="V63" s="10">
        <f t="shared" si="52"/>
        <v>2459461.5863013701</v>
      </c>
      <c r="W63" s="10">
        <f t="shared" si="52"/>
        <v>1548549.8876712329</v>
      </c>
      <c r="X63" s="10">
        <f t="shared" si="52"/>
        <v>627516.94794520549</v>
      </c>
      <c r="Y63" s="10">
        <f t="shared" si="52"/>
        <v>0</v>
      </c>
      <c r="Z63" s="10">
        <f t="shared" si="52"/>
        <v>0</v>
      </c>
      <c r="AA63" s="10"/>
      <c r="AB63" s="10"/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365</v>
      </c>
      <c r="AI63">
        <f t="shared" si="54"/>
        <v>335</v>
      </c>
      <c r="AJ63">
        <f t="shared" si="54"/>
        <v>304</v>
      </c>
      <c r="AK63">
        <f t="shared" si="54"/>
        <v>274</v>
      </c>
      <c r="AL63">
        <f t="shared" si="54"/>
        <v>243</v>
      </c>
      <c r="AM63">
        <f t="shared" si="54"/>
        <v>212</v>
      </c>
      <c r="AN63">
        <f t="shared" si="54"/>
        <v>184</v>
      </c>
      <c r="AO63">
        <f t="shared" si="54"/>
        <v>153</v>
      </c>
      <c r="AP63">
        <f t="shared" si="54"/>
        <v>123</v>
      </c>
      <c r="AQ63">
        <f t="shared" si="54"/>
        <v>92</v>
      </c>
      <c r="AR63">
        <f t="shared" si="54"/>
        <v>62</v>
      </c>
      <c r="AS63">
        <f t="shared" si="53"/>
        <v>31</v>
      </c>
      <c r="AT63">
        <f t="shared" si="53"/>
        <v>0</v>
      </c>
      <c r="AU63">
        <f t="shared" si="53"/>
        <v>-30</v>
      </c>
      <c r="AV63">
        <f t="shared" si="53"/>
        <v>-61</v>
      </c>
      <c r="AW63">
        <f t="shared" si="53"/>
        <v>-91</v>
      </c>
      <c r="AX63">
        <f t="shared" si="53"/>
        <v>-122</v>
      </c>
      <c r="AY63">
        <f t="shared" si="43"/>
        <v>0</v>
      </c>
      <c r="AZ63">
        <f t="shared" si="44"/>
        <v>0</v>
      </c>
      <c r="BA63">
        <f t="shared" si="45"/>
        <v>0</v>
      </c>
      <c r="BB63">
        <f t="shared" si="46"/>
        <v>0</v>
      </c>
      <c r="BC63">
        <f t="shared" si="47"/>
        <v>0</v>
      </c>
      <c r="BD63">
        <f t="shared" si="48"/>
        <v>365</v>
      </c>
      <c r="BE63">
        <f t="shared" si="49"/>
        <v>335</v>
      </c>
      <c r="BF63">
        <f t="shared" si="50"/>
        <v>304</v>
      </c>
      <c r="BG63">
        <f t="shared" si="23"/>
        <v>274</v>
      </c>
      <c r="BH63">
        <f t="shared" si="24"/>
        <v>243</v>
      </c>
      <c r="BI63">
        <f t="shared" si="25"/>
        <v>212</v>
      </c>
      <c r="BJ63">
        <f t="shared" si="26"/>
        <v>184</v>
      </c>
      <c r="BK63">
        <f t="shared" si="27"/>
        <v>153</v>
      </c>
      <c r="BL63">
        <f t="shared" si="28"/>
        <v>123</v>
      </c>
      <c r="BM63">
        <f t="shared" si="29"/>
        <v>92</v>
      </c>
      <c r="BN63">
        <f t="shared" si="30"/>
        <v>62</v>
      </c>
      <c r="BO63">
        <f t="shared" si="31"/>
        <v>31</v>
      </c>
      <c r="BP63">
        <f t="shared" si="32"/>
        <v>0</v>
      </c>
      <c r="BQ63">
        <f t="shared" si="33"/>
        <v>0</v>
      </c>
      <c r="BR63">
        <f t="shared" si="34"/>
        <v>0</v>
      </c>
      <c r="BS63">
        <f t="shared" si="35"/>
        <v>0</v>
      </c>
      <c r="BT63">
        <f t="shared" si="36"/>
        <v>0</v>
      </c>
    </row>
    <row r="64" spans="1:72" ht="12.95" customHeight="1" x14ac:dyDescent="0.2">
      <c r="A64">
        <f t="shared" si="40"/>
        <v>2025</v>
      </c>
      <c r="B64">
        <f t="shared" si="13"/>
        <v>10</v>
      </c>
      <c r="C64">
        <f t="shared" si="14"/>
        <v>4</v>
      </c>
      <c r="D64" s="11">
        <f>prod!A61</f>
        <v>45931</v>
      </c>
      <c r="E64" s="11">
        <f t="shared" si="15"/>
        <v>46295</v>
      </c>
      <c r="F64" s="10" t="str">
        <f>prod!B61</f>
        <v>משאיות חובה</v>
      </c>
      <c r="G64" s="10" t="str">
        <f>prod!C61</f>
        <v xml:space="preserve">חובה משאיות </v>
      </c>
      <c r="H64" s="10">
        <f>prod!D61</f>
        <v>4106179</v>
      </c>
      <c r="I64" s="10">
        <f>SUMIFS(info!C:C,info!$A:$A,data!$A64,info!$B:$B,data!$G64)</f>
        <v>0.05</v>
      </c>
      <c r="J64" s="10">
        <f>SUMIFS(info!D:D,info!$A:$A,data!$A64,info!$B:$B,data!$G64)</f>
        <v>0.95</v>
      </c>
      <c r="K64" s="10">
        <f>SUMIFS(info!E:E,info!$A:$A,data!$A64,info!$B:$B,data!$G64)</f>
        <v>0.15</v>
      </c>
      <c r="L64" s="10">
        <f>SUMIFS(info!F:F,info!$A:$A,data!$A64,info!$B:$B,data!$G64)</f>
        <v>0.9</v>
      </c>
      <c r="M64" s="10">
        <f>IF(SUMIFS(info!$C$25:$C$27,info!$A$25:$A$27,data!A64,info!$B$25:$B$27,data!F64)&lt;=0,1,SUMIFS(info!$C$25:$C$27,info!$A$25:$A$27,data!A64,info!$B$25:$B$27,data!F64))*H64</f>
        <v>4106179</v>
      </c>
      <c r="N64" s="10">
        <f t="shared" si="16"/>
        <v>3900870.05</v>
      </c>
      <c r="O64" s="10">
        <f t="shared" si="17"/>
        <v>205308.95</v>
      </c>
      <c r="P64" s="10">
        <f t="shared" si="18"/>
        <v>585130.50749999995</v>
      </c>
      <c r="Q64" s="10">
        <f t="shared" si="19"/>
        <v>3695561.1</v>
      </c>
      <c r="R64" s="10">
        <f t="shared" si="20"/>
        <v>3510783.0449999999</v>
      </c>
      <c r="S64" s="10">
        <f t="shared" si="21"/>
        <v>0</v>
      </c>
      <c r="T64" s="10">
        <f t="shared" si="52"/>
        <v>0</v>
      </c>
      <c r="U64" s="10">
        <f t="shared" si="52"/>
        <v>0</v>
      </c>
      <c r="V64" s="10">
        <f t="shared" si="52"/>
        <v>3071196.895890411</v>
      </c>
      <c r="W64" s="10">
        <f t="shared" si="52"/>
        <v>2058714.402739726</v>
      </c>
      <c r="X64" s="10">
        <f t="shared" si="52"/>
        <v>1034982.104109589</v>
      </c>
      <c r="Y64" s="10">
        <f t="shared" si="52"/>
        <v>0</v>
      </c>
      <c r="Z64" s="10">
        <f t="shared" si="52"/>
        <v>0</v>
      </c>
      <c r="AA64" s="10"/>
      <c r="AB64" s="10"/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365</v>
      </c>
      <c r="AJ64">
        <f t="shared" si="54"/>
        <v>334</v>
      </c>
      <c r="AK64">
        <f t="shared" si="54"/>
        <v>304</v>
      </c>
      <c r="AL64">
        <f t="shared" si="54"/>
        <v>273</v>
      </c>
      <c r="AM64">
        <f t="shared" si="54"/>
        <v>242</v>
      </c>
      <c r="AN64">
        <f t="shared" si="54"/>
        <v>214</v>
      </c>
      <c r="AO64">
        <f t="shared" si="54"/>
        <v>183</v>
      </c>
      <c r="AP64">
        <f t="shared" si="54"/>
        <v>153</v>
      </c>
      <c r="AQ64">
        <f t="shared" si="54"/>
        <v>122</v>
      </c>
      <c r="AR64">
        <f t="shared" si="54"/>
        <v>92</v>
      </c>
      <c r="AS64">
        <f t="shared" si="53"/>
        <v>61</v>
      </c>
      <c r="AT64">
        <f t="shared" si="53"/>
        <v>30</v>
      </c>
      <c r="AU64">
        <f t="shared" si="53"/>
        <v>0</v>
      </c>
      <c r="AV64">
        <f t="shared" si="53"/>
        <v>-31</v>
      </c>
      <c r="AW64">
        <f t="shared" si="53"/>
        <v>-61</v>
      </c>
      <c r="AX64">
        <f t="shared" si="53"/>
        <v>-92</v>
      </c>
      <c r="AY64">
        <f t="shared" si="43"/>
        <v>0</v>
      </c>
      <c r="AZ64">
        <f t="shared" si="44"/>
        <v>0</v>
      </c>
      <c r="BA64">
        <f t="shared" si="45"/>
        <v>0</v>
      </c>
      <c r="BB64">
        <f t="shared" si="46"/>
        <v>0</v>
      </c>
      <c r="BC64">
        <f t="shared" si="47"/>
        <v>0</v>
      </c>
      <c r="BD64">
        <f t="shared" si="48"/>
        <v>0</v>
      </c>
      <c r="BE64">
        <f t="shared" si="49"/>
        <v>365</v>
      </c>
      <c r="BF64">
        <f t="shared" si="50"/>
        <v>334</v>
      </c>
      <c r="BG64">
        <f t="shared" si="23"/>
        <v>304</v>
      </c>
      <c r="BH64">
        <f t="shared" si="24"/>
        <v>273</v>
      </c>
      <c r="BI64">
        <f t="shared" si="25"/>
        <v>242</v>
      </c>
      <c r="BJ64">
        <f t="shared" si="26"/>
        <v>214</v>
      </c>
      <c r="BK64">
        <f t="shared" si="27"/>
        <v>183</v>
      </c>
      <c r="BL64">
        <f t="shared" si="28"/>
        <v>153</v>
      </c>
      <c r="BM64">
        <f t="shared" si="29"/>
        <v>122</v>
      </c>
      <c r="BN64">
        <f t="shared" si="30"/>
        <v>92</v>
      </c>
      <c r="BO64">
        <f t="shared" si="31"/>
        <v>61</v>
      </c>
      <c r="BP64">
        <f t="shared" si="32"/>
        <v>30</v>
      </c>
      <c r="BQ64">
        <f t="shared" si="33"/>
        <v>0</v>
      </c>
      <c r="BR64">
        <f t="shared" si="34"/>
        <v>0</v>
      </c>
      <c r="BS64">
        <f t="shared" si="35"/>
        <v>0</v>
      </c>
      <c r="BT64">
        <f t="shared" si="36"/>
        <v>0</v>
      </c>
    </row>
    <row r="65" spans="1:72" ht="12.95" customHeight="1" x14ac:dyDescent="0.2">
      <c r="A65">
        <f t="shared" si="40"/>
        <v>2025</v>
      </c>
      <c r="B65">
        <f t="shared" si="13"/>
        <v>11</v>
      </c>
      <c r="C65">
        <f t="shared" si="14"/>
        <v>4</v>
      </c>
      <c r="D65" s="11">
        <f>prod!A62</f>
        <v>45962</v>
      </c>
      <c r="E65" s="11">
        <f t="shared" si="15"/>
        <v>46326</v>
      </c>
      <c r="F65" s="10" t="str">
        <f>prod!B62</f>
        <v>משאיות חובה</v>
      </c>
      <c r="G65" s="10" t="str">
        <f>prod!C62</f>
        <v xml:space="preserve">חובה משאיות </v>
      </c>
      <c r="H65" s="10">
        <f>prod!D62</f>
        <v>5774106</v>
      </c>
      <c r="I65" s="10">
        <f>SUMIFS(info!C:C,info!$A:$A,data!$A65,info!$B:$B,data!$G65)</f>
        <v>0.05</v>
      </c>
      <c r="J65" s="10">
        <f>SUMIFS(info!D:D,info!$A:$A,data!$A65,info!$B:$B,data!$G65)</f>
        <v>0.95</v>
      </c>
      <c r="K65" s="10">
        <f>SUMIFS(info!E:E,info!$A:$A,data!$A65,info!$B:$B,data!$G65)</f>
        <v>0.15</v>
      </c>
      <c r="L65" s="10">
        <f>SUMIFS(info!F:F,info!$A:$A,data!$A65,info!$B:$B,data!$G65)</f>
        <v>0.9</v>
      </c>
      <c r="M65" s="10">
        <f>IF(SUMIFS(info!$C$25:$C$27,info!$A$25:$A$27,data!A65,info!$B$25:$B$27,data!F65)&lt;=0,1,SUMIFS(info!$C$25:$C$27,info!$A$25:$A$27,data!A65,info!$B$25:$B$27,data!F65))*H65</f>
        <v>5774106</v>
      </c>
      <c r="N65" s="10">
        <f t="shared" si="16"/>
        <v>5485400.7000000002</v>
      </c>
      <c r="O65" s="10">
        <f t="shared" si="17"/>
        <v>288705.3</v>
      </c>
      <c r="P65" s="10">
        <f t="shared" si="18"/>
        <v>822810.10499999998</v>
      </c>
      <c r="Q65" s="10">
        <f t="shared" si="19"/>
        <v>5196695.4000000004</v>
      </c>
      <c r="R65" s="10">
        <f t="shared" si="20"/>
        <v>4936860.63</v>
      </c>
      <c r="S65" s="10">
        <f t="shared" si="21"/>
        <v>0</v>
      </c>
      <c r="T65" s="10">
        <f t="shared" ref="T65:Z69" si="55">IF($D65&gt;T$4,0,$M65*MAX(0,$E65-T$4)/($E65-$D65+1))</f>
        <v>0</v>
      </c>
      <c r="U65" s="10">
        <f t="shared" si="55"/>
        <v>0</v>
      </c>
      <c r="V65" s="10">
        <f t="shared" si="55"/>
        <v>4809118.4219178082</v>
      </c>
      <c r="W65" s="10">
        <f t="shared" si="55"/>
        <v>3385366.2575342464</v>
      </c>
      <c r="X65" s="10">
        <f t="shared" si="55"/>
        <v>1945794.6246575343</v>
      </c>
      <c r="Y65" s="10">
        <f t="shared" si="55"/>
        <v>490403.52328767121</v>
      </c>
      <c r="Z65" s="10">
        <f t="shared" si="55"/>
        <v>0</v>
      </c>
      <c r="AA65" s="10"/>
      <c r="AB65" s="10"/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365</v>
      </c>
      <c r="AK65">
        <f t="shared" si="54"/>
        <v>335</v>
      </c>
      <c r="AL65">
        <f t="shared" si="54"/>
        <v>304</v>
      </c>
      <c r="AM65">
        <f t="shared" si="54"/>
        <v>273</v>
      </c>
      <c r="AN65">
        <f t="shared" si="54"/>
        <v>245</v>
      </c>
      <c r="AO65">
        <f t="shared" si="54"/>
        <v>214</v>
      </c>
      <c r="AP65">
        <f t="shared" si="54"/>
        <v>184</v>
      </c>
      <c r="AQ65">
        <f t="shared" si="54"/>
        <v>153</v>
      </c>
      <c r="AR65">
        <f t="shared" si="54"/>
        <v>123</v>
      </c>
      <c r="AS65">
        <f t="shared" si="53"/>
        <v>92</v>
      </c>
      <c r="AT65">
        <f t="shared" si="53"/>
        <v>61</v>
      </c>
      <c r="AU65">
        <f t="shared" si="53"/>
        <v>31</v>
      </c>
      <c r="AV65">
        <f t="shared" si="53"/>
        <v>0</v>
      </c>
      <c r="AW65">
        <f t="shared" si="53"/>
        <v>-30</v>
      </c>
      <c r="AX65">
        <f t="shared" si="53"/>
        <v>-61</v>
      </c>
      <c r="AY65">
        <f t="shared" si="43"/>
        <v>0</v>
      </c>
      <c r="AZ65">
        <f t="shared" si="44"/>
        <v>0</v>
      </c>
      <c r="BA65">
        <f t="shared" si="45"/>
        <v>0</v>
      </c>
      <c r="BB65">
        <f t="shared" si="46"/>
        <v>0</v>
      </c>
      <c r="BC65">
        <f t="shared" si="47"/>
        <v>0</v>
      </c>
      <c r="BD65">
        <f t="shared" si="48"/>
        <v>0</v>
      </c>
      <c r="BE65">
        <f t="shared" si="49"/>
        <v>0</v>
      </c>
      <c r="BF65">
        <f t="shared" si="50"/>
        <v>365</v>
      </c>
      <c r="BG65">
        <f t="shared" si="23"/>
        <v>335</v>
      </c>
      <c r="BH65">
        <f t="shared" si="24"/>
        <v>304</v>
      </c>
      <c r="BI65">
        <f t="shared" si="25"/>
        <v>273</v>
      </c>
      <c r="BJ65">
        <f t="shared" si="26"/>
        <v>245</v>
      </c>
      <c r="BK65">
        <f t="shared" si="27"/>
        <v>214</v>
      </c>
      <c r="BL65">
        <f t="shared" si="28"/>
        <v>184</v>
      </c>
      <c r="BM65">
        <f t="shared" si="29"/>
        <v>153</v>
      </c>
      <c r="BN65">
        <f t="shared" si="30"/>
        <v>123</v>
      </c>
      <c r="BO65">
        <f t="shared" si="31"/>
        <v>92</v>
      </c>
      <c r="BP65">
        <f t="shared" si="32"/>
        <v>61</v>
      </c>
      <c r="BQ65">
        <f t="shared" si="33"/>
        <v>31</v>
      </c>
      <c r="BR65">
        <f t="shared" si="34"/>
        <v>0</v>
      </c>
      <c r="BS65">
        <f t="shared" si="35"/>
        <v>0</v>
      </c>
      <c r="BT65">
        <f t="shared" si="36"/>
        <v>0</v>
      </c>
    </row>
    <row r="66" spans="1:72" ht="12.95" customHeight="1" x14ac:dyDescent="0.2">
      <c r="A66">
        <f t="shared" si="40"/>
        <v>2025</v>
      </c>
      <c r="B66">
        <f t="shared" si="13"/>
        <v>12</v>
      </c>
      <c r="C66">
        <f t="shared" si="14"/>
        <v>4</v>
      </c>
      <c r="D66" s="11">
        <f>prod!A63</f>
        <v>45992</v>
      </c>
      <c r="E66" s="11">
        <f t="shared" si="15"/>
        <v>46356</v>
      </c>
      <c r="F66" s="10" t="str">
        <f>prod!B63</f>
        <v>משאיות חובה</v>
      </c>
      <c r="G66" s="10" t="str">
        <f>prod!C63</f>
        <v xml:space="preserve">חובה משאיות </v>
      </c>
      <c r="H66" s="10">
        <f>prod!D63</f>
        <v>7253101</v>
      </c>
      <c r="I66" s="10">
        <f>SUMIFS(info!C:C,info!$A:$A,data!$A66,info!$B:$B,data!$G66)</f>
        <v>0.05</v>
      </c>
      <c r="J66" s="10">
        <f>SUMIFS(info!D:D,info!$A:$A,data!$A66,info!$B:$B,data!$G66)</f>
        <v>0.95</v>
      </c>
      <c r="K66" s="10">
        <f>SUMIFS(info!E:E,info!$A:$A,data!$A66,info!$B:$B,data!$G66)</f>
        <v>0.15</v>
      </c>
      <c r="L66" s="10">
        <f>SUMIFS(info!F:F,info!$A:$A,data!$A66,info!$B:$B,data!$G66)</f>
        <v>0.9</v>
      </c>
      <c r="M66" s="10">
        <f>IF(SUMIFS(info!$C$25:$C$27,info!$A$25:$A$27,data!A66,info!$B$25:$B$27,data!F66)&lt;=0,1,SUMIFS(info!$C$25:$C$27,info!$A$25:$A$27,data!A66,info!$B$25:$B$27,data!F66))*H66</f>
        <v>7253101</v>
      </c>
      <c r="N66" s="10">
        <f t="shared" si="16"/>
        <v>6890445.9499999993</v>
      </c>
      <c r="O66" s="10">
        <f t="shared" si="17"/>
        <v>362655.05000000005</v>
      </c>
      <c r="P66" s="10">
        <f t="shared" si="18"/>
        <v>1033566.8924999998</v>
      </c>
      <c r="Q66" s="10">
        <f t="shared" si="19"/>
        <v>6527790.9000000004</v>
      </c>
      <c r="R66" s="10">
        <f t="shared" si="20"/>
        <v>6201401.3550000004</v>
      </c>
      <c r="S66" s="10">
        <f t="shared" si="21"/>
        <v>0</v>
      </c>
      <c r="T66" s="10">
        <f t="shared" si="55"/>
        <v>0</v>
      </c>
      <c r="U66" s="10">
        <f t="shared" si="55"/>
        <v>0</v>
      </c>
      <c r="V66" s="10">
        <f t="shared" si="55"/>
        <v>6637084.2027397258</v>
      </c>
      <c r="W66" s="10">
        <f t="shared" si="55"/>
        <v>4848648.3397260271</v>
      </c>
      <c r="X66" s="10">
        <f t="shared" si="55"/>
        <v>3040340.9671232877</v>
      </c>
      <c r="Y66" s="10">
        <f t="shared" si="55"/>
        <v>1212162.0849315068</v>
      </c>
      <c r="Z66" s="10">
        <f t="shared" si="55"/>
        <v>0</v>
      </c>
      <c r="AA66" s="10"/>
      <c r="AB66" s="10"/>
      <c r="AC66">
        <f t="shared" si="54"/>
        <v>0</v>
      </c>
      <c r="AD66">
        <f t="shared" si="54"/>
        <v>0</v>
      </c>
      <c r="AE66">
        <f t="shared" si="54"/>
        <v>0</v>
      </c>
      <c r="AF66">
        <f t="shared" si="54"/>
        <v>0</v>
      </c>
      <c r="AG66">
        <f t="shared" si="54"/>
        <v>0</v>
      </c>
      <c r="AH66">
        <f t="shared" si="54"/>
        <v>0</v>
      </c>
      <c r="AI66">
        <f t="shared" si="54"/>
        <v>0</v>
      </c>
      <c r="AJ66">
        <f t="shared" si="54"/>
        <v>0</v>
      </c>
      <c r="AK66">
        <f t="shared" si="54"/>
        <v>365</v>
      </c>
      <c r="AL66">
        <f t="shared" si="54"/>
        <v>334</v>
      </c>
      <c r="AM66">
        <f t="shared" si="54"/>
        <v>303</v>
      </c>
      <c r="AN66">
        <f t="shared" si="54"/>
        <v>275</v>
      </c>
      <c r="AO66">
        <f t="shared" si="54"/>
        <v>244</v>
      </c>
      <c r="AP66">
        <f t="shared" si="54"/>
        <v>214</v>
      </c>
      <c r="AQ66">
        <f t="shared" si="54"/>
        <v>183</v>
      </c>
      <c r="AR66">
        <f t="shared" si="54"/>
        <v>153</v>
      </c>
      <c r="AS66">
        <f t="shared" si="53"/>
        <v>122</v>
      </c>
      <c r="AT66">
        <f t="shared" si="53"/>
        <v>91</v>
      </c>
      <c r="AU66">
        <f t="shared" si="53"/>
        <v>61</v>
      </c>
      <c r="AV66">
        <f t="shared" si="53"/>
        <v>30</v>
      </c>
      <c r="AW66">
        <f t="shared" si="53"/>
        <v>0</v>
      </c>
      <c r="AX66">
        <f t="shared" si="53"/>
        <v>-31</v>
      </c>
      <c r="AY66">
        <f t="shared" si="43"/>
        <v>0</v>
      </c>
      <c r="AZ66">
        <f t="shared" si="44"/>
        <v>0</v>
      </c>
      <c r="BA66">
        <f t="shared" si="45"/>
        <v>0</v>
      </c>
      <c r="BB66">
        <f t="shared" si="46"/>
        <v>0</v>
      </c>
      <c r="BC66">
        <f t="shared" si="47"/>
        <v>0</v>
      </c>
      <c r="BD66">
        <f t="shared" si="48"/>
        <v>0</v>
      </c>
      <c r="BE66">
        <f t="shared" si="49"/>
        <v>0</v>
      </c>
      <c r="BF66">
        <f t="shared" si="50"/>
        <v>0</v>
      </c>
      <c r="BG66">
        <f t="shared" si="23"/>
        <v>365</v>
      </c>
      <c r="BH66">
        <f t="shared" si="24"/>
        <v>334</v>
      </c>
      <c r="BI66">
        <f t="shared" si="25"/>
        <v>303</v>
      </c>
      <c r="BJ66">
        <f t="shared" si="26"/>
        <v>275</v>
      </c>
      <c r="BK66">
        <f t="shared" si="27"/>
        <v>244</v>
      </c>
      <c r="BL66">
        <f t="shared" si="28"/>
        <v>214</v>
      </c>
      <c r="BM66">
        <f t="shared" si="29"/>
        <v>183</v>
      </c>
      <c r="BN66">
        <f t="shared" si="30"/>
        <v>153</v>
      </c>
      <c r="BO66">
        <f t="shared" si="31"/>
        <v>122</v>
      </c>
      <c r="BP66">
        <f t="shared" si="32"/>
        <v>91</v>
      </c>
      <c r="BQ66">
        <f t="shared" si="33"/>
        <v>61</v>
      </c>
      <c r="BR66">
        <f t="shared" si="34"/>
        <v>30</v>
      </c>
      <c r="BS66">
        <f t="shared" si="35"/>
        <v>0</v>
      </c>
      <c r="BT66">
        <f t="shared" si="36"/>
        <v>0</v>
      </c>
    </row>
    <row r="67" spans="1:72" ht="12.95" customHeight="1" x14ac:dyDescent="0.2">
      <c r="A67">
        <f t="shared" si="40"/>
        <v>2026</v>
      </c>
      <c r="B67">
        <f t="shared" si="13"/>
        <v>1</v>
      </c>
      <c r="C67">
        <f t="shared" si="14"/>
        <v>1</v>
      </c>
      <c r="D67" s="11">
        <f>prod!A64</f>
        <v>46023</v>
      </c>
      <c r="E67" s="11">
        <f t="shared" si="15"/>
        <v>46387</v>
      </c>
      <c r="F67" s="10" t="str">
        <f>prod!B64</f>
        <v>משאיות חובה</v>
      </c>
      <c r="G67" s="10" t="str">
        <f>prod!C64</f>
        <v xml:space="preserve">חובה משאיות </v>
      </c>
      <c r="H67" s="10">
        <f>prod!D64</f>
        <v>6160000</v>
      </c>
      <c r="I67" s="10">
        <f>SUMIFS(info!C:C,info!$A:$A,data!$A67,info!$B:$B,data!$G67)</f>
        <v>0.05</v>
      </c>
      <c r="J67" s="10">
        <f>SUMIFS(info!D:D,info!$A:$A,data!$A67,info!$B:$B,data!$G67)</f>
        <v>0.95</v>
      </c>
      <c r="K67" s="10">
        <f>SUMIFS(info!E:E,info!$A:$A,data!$A67,info!$B:$B,data!$G67)</f>
        <v>0.15</v>
      </c>
      <c r="L67" s="10">
        <f>SUMIFS(info!F:F,info!$A:$A,data!$A67,info!$B:$B,data!$G67)</f>
        <v>0.9</v>
      </c>
      <c r="M67" s="10">
        <f>IF(SUMIFS(info!$C$25:$C$27,info!$A$25:$A$27,data!A67,info!$B$25:$B$27,data!F67)&lt;=0,1,SUMIFS(info!$C$25:$C$27,info!$A$25:$A$27,data!A67,info!$B$25:$B$27,data!F67))*H67</f>
        <v>4891040</v>
      </c>
      <c r="N67" s="10">
        <f t="shared" si="16"/>
        <v>5852000</v>
      </c>
      <c r="O67" s="10">
        <f t="shared" si="17"/>
        <v>308000</v>
      </c>
      <c r="P67" s="10">
        <f t="shared" si="18"/>
        <v>877800</v>
      </c>
      <c r="Q67" s="10">
        <f t="shared" si="19"/>
        <v>5544000</v>
      </c>
      <c r="R67" s="10">
        <f t="shared" si="20"/>
        <v>5266800</v>
      </c>
      <c r="S67" s="10">
        <f t="shared" si="21"/>
        <v>0</v>
      </c>
      <c r="T67" s="10">
        <f t="shared" si="55"/>
        <v>0</v>
      </c>
      <c r="U67" s="10">
        <f t="shared" si="55"/>
        <v>0</v>
      </c>
      <c r="V67" s="10">
        <f t="shared" si="55"/>
        <v>0</v>
      </c>
      <c r="W67" s="10">
        <f t="shared" si="55"/>
        <v>3685030.1369863013</v>
      </c>
      <c r="X67" s="10">
        <f t="shared" si="55"/>
        <v>2465620.1643835618</v>
      </c>
      <c r="Y67" s="10">
        <f t="shared" si="55"/>
        <v>1232810.0821917809</v>
      </c>
      <c r="Z67" s="10">
        <f t="shared" si="55"/>
        <v>0</v>
      </c>
      <c r="AA67" s="10"/>
      <c r="AB67" s="10"/>
      <c r="AC67">
        <f t="shared" si="54"/>
        <v>0</v>
      </c>
      <c r="AD67">
        <f t="shared" si="54"/>
        <v>0</v>
      </c>
      <c r="AE67">
        <f t="shared" si="54"/>
        <v>0</v>
      </c>
      <c r="AF67">
        <f t="shared" si="54"/>
        <v>0</v>
      </c>
      <c r="AG67">
        <f t="shared" si="54"/>
        <v>0</v>
      </c>
      <c r="AH67">
        <f t="shared" si="54"/>
        <v>0</v>
      </c>
      <c r="AI67">
        <f t="shared" si="54"/>
        <v>0</v>
      </c>
      <c r="AJ67">
        <f t="shared" si="54"/>
        <v>0</v>
      </c>
      <c r="AK67">
        <f t="shared" si="54"/>
        <v>0</v>
      </c>
      <c r="AL67">
        <f t="shared" si="54"/>
        <v>365</v>
      </c>
      <c r="AM67">
        <f t="shared" si="54"/>
        <v>334</v>
      </c>
      <c r="AN67">
        <f t="shared" si="54"/>
        <v>306</v>
      </c>
      <c r="AO67">
        <f t="shared" si="54"/>
        <v>275</v>
      </c>
      <c r="AP67">
        <f t="shared" si="54"/>
        <v>245</v>
      </c>
      <c r="AQ67">
        <f t="shared" si="54"/>
        <v>214</v>
      </c>
      <c r="AR67">
        <f t="shared" si="54"/>
        <v>184</v>
      </c>
      <c r="AS67">
        <f t="shared" si="53"/>
        <v>153</v>
      </c>
      <c r="AT67">
        <f t="shared" si="53"/>
        <v>122</v>
      </c>
      <c r="AU67">
        <f t="shared" si="53"/>
        <v>92</v>
      </c>
      <c r="AV67">
        <f t="shared" si="53"/>
        <v>61</v>
      </c>
      <c r="AW67">
        <f t="shared" si="53"/>
        <v>31</v>
      </c>
      <c r="AX67">
        <f t="shared" si="53"/>
        <v>0</v>
      </c>
      <c r="AY67">
        <f t="shared" si="43"/>
        <v>0</v>
      </c>
      <c r="AZ67">
        <f t="shared" si="44"/>
        <v>0</v>
      </c>
      <c r="BA67">
        <f t="shared" si="45"/>
        <v>0</v>
      </c>
      <c r="BB67">
        <f t="shared" si="46"/>
        <v>0</v>
      </c>
      <c r="BC67">
        <f t="shared" si="47"/>
        <v>0</v>
      </c>
      <c r="BD67">
        <f t="shared" si="48"/>
        <v>0</v>
      </c>
      <c r="BE67">
        <f t="shared" si="49"/>
        <v>0</v>
      </c>
      <c r="BF67">
        <f t="shared" si="50"/>
        <v>0</v>
      </c>
      <c r="BG67">
        <f t="shared" si="23"/>
        <v>0</v>
      </c>
      <c r="BH67">
        <f t="shared" si="24"/>
        <v>365</v>
      </c>
      <c r="BI67">
        <f t="shared" si="25"/>
        <v>334</v>
      </c>
      <c r="BJ67">
        <f t="shared" si="26"/>
        <v>306</v>
      </c>
      <c r="BK67">
        <f t="shared" si="27"/>
        <v>275</v>
      </c>
      <c r="BL67">
        <f t="shared" si="28"/>
        <v>245</v>
      </c>
      <c r="BM67">
        <f t="shared" si="29"/>
        <v>214</v>
      </c>
      <c r="BN67">
        <f t="shared" si="30"/>
        <v>184</v>
      </c>
      <c r="BO67">
        <f t="shared" si="31"/>
        <v>153</v>
      </c>
      <c r="BP67">
        <f t="shared" si="32"/>
        <v>122</v>
      </c>
      <c r="BQ67">
        <f t="shared" si="33"/>
        <v>92</v>
      </c>
      <c r="BR67">
        <f t="shared" si="34"/>
        <v>61</v>
      </c>
      <c r="BS67">
        <f t="shared" si="35"/>
        <v>31</v>
      </c>
      <c r="BT67">
        <f t="shared" si="36"/>
        <v>0</v>
      </c>
    </row>
    <row r="68" spans="1:72" ht="12.95" customHeight="1" x14ac:dyDescent="0.2">
      <c r="A68">
        <f t="shared" si="40"/>
        <v>2026</v>
      </c>
      <c r="B68">
        <f t="shared" si="13"/>
        <v>2</v>
      </c>
      <c r="C68">
        <f t="shared" si="14"/>
        <v>1</v>
      </c>
      <c r="D68" s="11">
        <f>prod!A65</f>
        <v>46054</v>
      </c>
      <c r="E68" s="11">
        <f t="shared" si="15"/>
        <v>46418</v>
      </c>
      <c r="F68" s="10" t="str">
        <f>prod!B65</f>
        <v>משאיות חובה</v>
      </c>
      <c r="G68" s="10" t="str">
        <f>prod!C65</f>
        <v xml:space="preserve">חובה משאיות </v>
      </c>
      <c r="H68" s="10">
        <f>prod!D65</f>
        <v>2240000</v>
      </c>
      <c r="I68" s="10">
        <f>SUMIFS(info!C:C,info!$A:$A,data!$A68,info!$B:$B,data!$G68)</f>
        <v>0.05</v>
      </c>
      <c r="J68" s="10">
        <f>SUMIFS(info!D:D,info!$A:$A,data!$A68,info!$B:$B,data!$G68)</f>
        <v>0.95</v>
      </c>
      <c r="K68" s="10">
        <f>SUMIFS(info!E:E,info!$A:$A,data!$A68,info!$B:$B,data!$G68)</f>
        <v>0.15</v>
      </c>
      <c r="L68" s="10">
        <f>SUMIFS(info!F:F,info!$A:$A,data!$A68,info!$B:$B,data!$G68)</f>
        <v>0.9</v>
      </c>
      <c r="M68" s="10">
        <f>IF(SUMIFS(info!$C$25:$C$27,info!$A$25:$A$27,data!A68,info!$B$25:$B$27,data!F68)&lt;=0,1,SUMIFS(info!$C$25:$C$27,info!$A$25:$A$27,data!A68,info!$B$25:$B$27,data!F68))*H68</f>
        <v>1778560</v>
      </c>
      <c r="N68" s="10">
        <f t="shared" si="16"/>
        <v>2128000</v>
      </c>
      <c r="O68" s="10">
        <f t="shared" si="17"/>
        <v>112000</v>
      </c>
      <c r="P68" s="10">
        <f t="shared" si="18"/>
        <v>319200</v>
      </c>
      <c r="Q68" s="10">
        <f t="shared" si="19"/>
        <v>2016000</v>
      </c>
      <c r="R68" s="10">
        <f t="shared" si="20"/>
        <v>1915200</v>
      </c>
      <c r="S68" s="10">
        <f t="shared" si="21"/>
        <v>0</v>
      </c>
      <c r="T68" s="10">
        <f t="shared" si="55"/>
        <v>0</v>
      </c>
      <c r="U68" s="10">
        <f t="shared" si="55"/>
        <v>0</v>
      </c>
      <c r="V68" s="10">
        <f t="shared" si="55"/>
        <v>0</v>
      </c>
      <c r="W68" s="10">
        <f t="shared" si="55"/>
        <v>1491066.7397260275</v>
      </c>
      <c r="X68" s="10">
        <f t="shared" si="55"/>
        <v>1047644.9315068494</v>
      </c>
      <c r="Y68" s="10">
        <f t="shared" si="55"/>
        <v>599350.35616438359</v>
      </c>
      <c r="Z68" s="10">
        <f t="shared" si="55"/>
        <v>151055.78082191781</v>
      </c>
      <c r="AA68" s="10"/>
      <c r="AB68" s="10"/>
      <c r="AC68">
        <f t="shared" si="54"/>
        <v>0</v>
      </c>
      <c r="AD68">
        <f t="shared" si="54"/>
        <v>0</v>
      </c>
      <c r="AE68">
        <f t="shared" si="54"/>
        <v>0</v>
      </c>
      <c r="AF68">
        <f t="shared" si="54"/>
        <v>0</v>
      </c>
      <c r="AG68">
        <f t="shared" si="54"/>
        <v>0</v>
      </c>
      <c r="AH68">
        <f t="shared" si="54"/>
        <v>0</v>
      </c>
      <c r="AI68">
        <f t="shared" si="54"/>
        <v>0</v>
      </c>
      <c r="AJ68">
        <f t="shared" si="54"/>
        <v>0</v>
      </c>
      <c r="AK68">
        <f t="shared" si="54"/>
        <v>0</v>
      </c>
      <c r="AL68">
        <f t="shared" si="54"/>
        <v>0</v>
      </c>
      <c r="AM68">
        <f t="shared" si="54"/>
        <v>365</v>
      </c>
      <c r="AN68">
        <f t="shared" si="54"/>
        <v>337</v>
      </c>
      <c r="AO68">
        <f t="shared" si="54"/>
        <v>306</v>
      </c>
      <c r="AP68">
        <f t="shared" si="54"/>
        <v>276</v>
      </c>
      <c r="AQ68">
        <f t="shared" si="54"/>
        <v>245</v>
      </c>
      <c r="AR68">
        <f t="shared" si="54"/>
        <v>215</v>
      </c>
      <c r="AS68">
        <f t="shared" si="53"/>
        <v>184</v>
      </c>
      <c r="AT68">
        <f t="shared" si="53"/>
        <v>153</v>
      </c>
      <c r="AU68">
        <f t="shared" si="53"/>
        <v>123</v>
      </c>
      <c r="AV68">
        <f t="shared" si="53"/>
        <v>92</v>
      </c>
      <c r="AW68">
        <f t="shared" si="53"/>
        <v>62</v>
      </c>
      <c r="AX68">
        <f t="shared" si="53"/>
        <v>31</v>
      </c>
      <c r="AY68">
        <f t="shared" si="43"/>
        <v>0</v>
      </c>
      <c r="AZ68">
        <f t="shared" si="44"/>
        <v>0</v>
      </c>
      <c r="BA68">
        <f t="shared" si="45"/>
        <v>0</v>
      </c>
      <c r="BB68">
        <f t="shared" si="46"/>
        <v>0</v>
      </c>
      <c r="BC68">
        <f t="shared" si="47"/>
        <v>0</v>
      </c>
      <c r="BD68">
        <f t="shared" si="48"/>
        <v>0</v>
      </c>
      <c r="BE68">
        <f t="shared" si="49"/>
        <v>0</v>
      </c>
      <c r="BF68">
        <f t="shared" si="50"/>
        <v>0</v>
      </c>
      <c r="BG68">
        <f t="shared" si="23"/>
        <v>0</v>
      </c>
      <c r="BH68">
        <f t="shared" si="24"/>
        <v>0</v>
      </c>
      <c r="BI68">
        <f t="shared" si="25"/>
        <v>365</v>
      </c>
      <c r="BJ68">
        <f t="shared" si="26"/>
        <v>337</v>
      </c>
      <c r="BK68">
        <f t="shared" si="27"/>
        <v>306</v>
      </c>
      <c r="BL68">
        <f t="shared" si="28"/>
        <v>276</v>
      </c>
      <c r="BM68">
        <f t="shared" si="29"/>
        <v>245</v>
      </c>
      <c r="BN68">
        <f t="shared" si="30"/>
        <v>215</v>
      </c>
      <c r="BO68">
        <f t="shared" si="31"/>
        <v>184</v>
      </c>
      <c r="BP68">
        <f t="shared" si="32"/>
        <v>153</v>
      </c>
      <c r="BQ68">
        <f t="shared" si="33"/>
        <v>123</v>
      </c>
      <c r="BR68">
        <f t="shared" si="34"/>
        <v>92</v>
      </c>
      <c r="BS68">
        <f t="shared" si="35"/>
        <v>62</v>
      </c>
      <c r="BT68">
        <f t="shared" si="36"/>
        <v>31</v>
      </c>
    </row>
    <row r="69" spans="1:72" ht="12.95" customHeight="1" x14ac:dyDescent="0.2">
      <c r="A69">
        <f t="shared" si="40"/>
        <v>2026</v>
      </c>
      <c r="B69">
        <f t="shared" si="13"/>
        <v>3</v>
      </c>
      <c r="C69">
        <f t="shared" si="14"/>
        <v>1</v>
      </c>
      <c r="D69" s="11">
        <f>prod!A66</f>
        <v>46082</v>
      </c>
      <c r="E69" s="11">
        <f t="shared" si="15"/>
        <v>46446</v>
      </c>
      <c r="F69" s="10" t="str">
        <f>prod!B66</f>
        <v>משאיות חובה</v>
      </c>
      <c r="G69" s="10" t="str">
        <f>prod!C66</f>
        <v xml:space="preserve">חובה משאיות </v>
      </c>
      <c r="H69" s="10">
        <f>prod!D66</f>
        <v>2240000</v>
      </c>
      <c r="I69" s="10">
        <f>SUMIFS(info!C:C,info!$A:$A,data!$A69,info!$B:$B,data!$G69)</f>
        <v>0.05</v>
      </c>
      <c r="J69" s="10">
        <f>SUMIFS(info!D:D,info!$A:$A,data!$A69,info!$B:$B,data!$G69)</f>
        <v>0.95</v>
      </c>
      <c r="K69" s="10">
        <f>SUMIFS(info!E:E,info!$A:$A,data!$A69,info!$B:$B,data!$G69)</f>
        <v>0.15</v>
      </c>
      <c r="L69" s="10">
        <f>SUMIFS(info!F:F,info!$A:$A,data!$A69,info!$B:$B,data!$G69)</f>
        <v>0.9</v>
      </c>
      <c r="M69" s="10">
        <f>IF(SUMIFS(info!$C$25:$C$27,info!$A$25:$A$27,data!A69,info!$B$25:$B$27,data!F69)&lt;=0,1,SUMIFS(info!$C$25:$C$27,info!$A$25:$A$27,data!A69,info!$B$25:$B$27,data!F69))*H69</f>
        <v>1778560</v>
      </c>
      <c r="N69" s="10">
        <f t="shared" si="16"/>
        <v>2128000</v>
      </c>
      <c r="O69" s="10">
        <f t="shared" si="17"/>
        <v>112000</v>
      </c>
      <c r="P69" s="10">
        <f t="shared" si="18"/>
        <v>319200</v>
      </c>
      <c r="Q69" s="10">
        <f t="shared" si="19"/>
        <v>2016000</v>
      </c>
      <c r="R69" s="10">
        <f t="shared" si="20"/>
        <v>1915200</v>
      </c>
      <c r="S69" s="10">
        <f t="shared" si="21"/>
        <v>0</v>
      </c>
      <c r="T69" s="10">
        <f t="shared" si="55"/>
        <v>0</v>
      </c>
      <c r="U69" s="10">
        <f t="shared" si="55"/>
        <v>0</v>
      </c>
      <c r="V69" s="10">
        <f t="shared" si="55"/>
        <v>0</v>
      </c>
      <c r="W69" s="10">
        <f t="shared" si="55"/>
        <v>1627504.2191780822</v>
      </c>
      <c r="X69" s="10">
        <f t="shared" si="55"/>
        <v>1184082.4109589041</v>
      </c>
      <c r="Y69" s="10">
        <f t="shared" si="55"/>
        <v>735787.8356164383</v>
      </c>
      <c r="Z69" s="10">
        <f t="shared" si="55"/>
        <v>287493.26027397258</v>
      </c>
      <c r="AA69" s="10"/>
      <c r="AB69" s="10"/>
      <c r="AC69">
        <f t="shared" si="54"/>
        <v>0</v>
      </c>
      <c r="AD69">
        <f t="shared" si="54"/>
        <v>0</v>
      </c>
      <c r="AE69">
        <f t="shared" si="54"/>
        <v>0</v>
      </c>
      <c r="AF69">
        <f t="shared" si="54"/>
        <v>0</v>
      </c>
      <c r="AG69">
        <f t="shared" si="54"/>
        <v>0</v>
      </c>
      <c r="AH69">
        <f t="shared" si="54"/>
        <v>0</v>
      </c>
      <c r="AI69">
        <f t="shared" si="54"/>
        <v>0</v>
      </c>
      <c r="AJ69">
        <f t="shared" si="54"/>
        <v>0</v>
      </c>
      <c r="AK69">
        <f t="shared" si="54"/>
        <v>0</v>
      </c>
      <c r="AL69">
        <f t="shared" si="54"/>
        <v>0</v>
      </c>
      <c r="AM69">
        <f t="shared" si="54"/>
        <v>0</v>
      </c>
      <c r="AN69">
        <f t="shared" si="54"/>
        <v>365</v>
      </c>
      <c r="AO69">
        <f t="shared" si="54"/>
        <v>334</v>
      </c>
      <c r="AP69">
        <f t="shared" si="54"/>
        <v>304</v>
      </c>
      <c r="AQ69">
        <f t="shared" si="54"/>
        <v>273</v>
      </c>
      <c r="AR69">
        <f t="shared" ref="AR69:AX84" si="56">IF(($E69-AR$4)&gt;365,0,($E69-AR$4))</f>
        <v>243</v>
      </c>
      <c r="AS69">
        <f t="shared" si="56"/>
        <v>212</v>
      </c>
      <c r="AT69">
        <f t="shared" si="56"/>
        <v>181</v>
      </c>
      <c r="AU69">
        <f t="shared" si="56"/>
        <v>151</v>
      </c>
      <c r="AV69">
        <f t="shared" si="56"/>
        <v>120</v>
      </c>
      <c r="AW69">
        <f t="shared" si="56"/>
        <v>90</v>
      </c>
      <c r="AX69">
        <f t="shared" si="56"/>
        <v>59</v>
      </c>
      <c r="AY69">
        <f t="shared" ref="AY69:AY100" si="57">IF(AC69&lt;0,0,AC69)</f>
        <v>0</v>
      </c>
      <c r="AZ69">
        <f t="shared" ref="AZ69:AZ100" si="58">IF(AD69&lt;0,0,AD69)</f>
        <v>0</v>
      </c>
      <c r="BA69">
        <f t="shared" ref="BA69:BA100" si="59">IF(AE69&lt;0,0,AE69)</f>
        <v>0</v>
      </c>
      <c r="BB69">
        <f t="shared" ref="BB69:BB100" si="60">IF(AF69&lt;0,0,AF69)</f>
        <v>0</v>
      </c>
      <c r="BC69">
        <f t="shared" ref="BC69:BC100" si="61">IF(AG69&lt;0,0,AG69)</f>
        <v>0</v>
      </c>
      <c r="BD69">
        <f t="shared" ref="BD69:BD100" si="62">IF(AH69&lt;0,0,AH69)</f>
        <v>0</v>
      </c>
      <c r="BE69">
        <f t="shared" ref="BE69:BE100" si="63">IF(AI69&lt;0,0,AI69)</f>
        <v>0</v>
      </c>
      <c r="BF69">
        <f t="shared" ref="BF69:BF100" si="64">IF(AJ69&lt;0,0,AJ69)</f>
        <v>0</v>
      </c>
      <c r="BG69">
        <f t="shared" si="23"/>
        <v>0</v>
      </c>
      <c r="BH69">
        <f t="shared" si="24"/>
        <v>0</v>
      </c>
      <c r="BI69">
        <f t="shared" si="25"/>
        <v>0</v>
      </c>
      <c r="BJ69">
        <f t="shared" si="26"/>
        <v>365</v>
      </c>
      <c r="BK69">
        <f t="shared" si="27"/>
        <v>334</v>
      </c>
      <c r="BL69">
        <f t="shared" si="28"/>
        <v>304</v>
      </c>
      <c r="BM69">
        <f t="shared" si="29"/>
        <v>273</v>
      </c>
      <c r="BN69">
        <f t="shared" si="30"/>
        <v>243</v>
      </c>
      <c r="BO69">
        <f t="shared" si="31"/>
        <v>212</v>
      </c>
      <c r="BP69">
        <f t="shared" si="32"/>
        <v>181</v>
      </c>
      <c r="BQ69">
        <f t="shared" si="33"/>
        <v>151</v>
      </c>
      <c r="BR69">
        <f t="shared" si="34"/>
        <v>120</v>
      </c>
      <c r="BS69">
        <f t="shared" si="35"/>
        <v>90</v>
      </c>
      <c r="BT69">
        <f t="shared" si="36"/>
        <v>59</v>
      </c>
    </row>
    <row r="70" spans="1:72" ht="12.95" customHeight="1" x14ac:dyDescent="0.2">
      <c r="A70">
        <f t="shared" si="40"/>
        <v>2026</v>
      </c>
      <c r="B70">
        <f t="shared" ref="B70:B133" si="65">MONTH(D70)</f>
        <v>4</v>
      </c>
      <c r="C70">
        <f t="shared" ref="C70:C133" si="66">IF(MONTH(D70)&lt;=3,1,IF(MONTH(D70)&lt;=6,2,IF(MONTH(D70)&lt;=9,3,4)))</f>
        <v>2</v>
      </c>
      <c r="D70" s="11">
        <f>prod!A67</f>
        <v>46113</v>
      </c>
      <c r="E70" s="11">
        <f t="shared" ref="E70:E133" si="67">EDATE(D70,12)-1</f>
        <v>46477</v>
      </c>
      <c r="F70" s="10" t="str">
        <f>prod!B67</f>
        <v>משאיות חובה</v>
      </c>
      <c r="G70" s="10" t="str">
        <f>prod!C67</f>
        <v xml:space="preserve">חובה משאיות </v>
      </c>
      <c r="H70" s="10">
        <f>prod!D67</f>
        <v>2240000</v>
      </c>
      <c r="I70" s="10">
        <f>SUMIFS(info!C:C,info!$A:$A,data!$A70,info!$B:$B,data!$G70)</f>
        <v>0.05</v>
      </c>
      <c r="J70" s="10">
        <f>SUMIFS(info!D:D,info!$A:$A,data!$A70,info!$B:$B,data!$G70)</f>
        <v>0.95</v>
      </c>
      <c r="K70" s="10">
        <f>SUMIFS(info!E:E,info!$A:$A,data!$A70,info!$B:$B,data!$G70)</f>
        <v>0.15</v>
      </c>
      <c r="L70" s="10">
        <f>SUMIFS(info!F:F,info!$A:$A,data!$A70,info!$B:$B,data!$G70)</f>
        <v>0.9</v>
      </c>
      <c r="M70" s="10">
        <f>IF(SUMIFS(info!$C$25:$C$27,info!$A$25:$A$27,data!A70,info!$B$25:$B$27,data!F70)&lt;=0,1,SUMIFS(info!$C$25:$C$27,info!$A$25:$A$27,data!A70,info!$B$25:$B$27,data!F70))*H70</f>
        <v>1778560</v>
      </c>
      <c r="N70" s="10">
        <f t="shared" ref="N70:N133" si="68">H70*J70</f>
        <v>2128000</v>
      </c>
      <c r="O70" s="10">
        <f t="shared" ref="O70:O133" si="69">H70*I70</f>
        <v>112000</v>
      </c>
      <c r="P70" s="10">
        <f t="shared" ref="P70:P133" si="70">N70*K70</f>
        <v>319200</v>
      </c>
      <c r="Q70" s="10">
        <f t="shared" ref="Q70:Q133" si="71">H70*L70</f>
        <v>2016000</v>
      </c>
      <c r="R70" s="10">
        <f t="shared" ref="R70:R133" si="72">Q70*J70</f>
        <v>1915200</v>
      </c>
      <c r="S70" s="10">
        <f t="shared" ref="S70:Z133" si="73">IF($D70&gt;S$4,0,$M70*MAX(0,$E70-S$4)/($E70-$D70+1))</f>
        <v>0</v>
      </c>
      <c r="T70" s="10">
        <f t="shared" si="73"/>
        <v>0</v>
      </c>
      <c r="U70" s="10">
        <f t="shared" si="73"/>
        <v>0</v>
      </c>
      <c r="V70" s="10">
        <f t="shared" si="73"/>
        <v>0</v>
      </c>
      <c r="W70" s="10">
        <f t="shared" si="73"/>
        <v>0</v>
      </c>
      <c r="X70" s="10">
        <f t="shared" si="73"/>
        <v>1335138.1917808219</v>
      </c>
      <c r="Y70" s="10">
        <f t="shared" si="73"/>
        <v>886843.61643835611</v>
      </c>
      <c r="Z70" s="10">
        <f t="shared" si="73"/>
        <v>438549.0410958904</v>
      </c>
      <c r="AA70" s="10"/>
      <c r="AB70" s="10"/>
      <c r="AC70">
        <f t="shared" ref="AC70:AR85" si="74">IF(($E70-AC$4)&gt;365,0,($E70-AC$4))</f>
        <v>0</v>
      </c>
      <c r="AD70">
        <f t="shared" si="74"/>
        <v>0</v>
      </c>
      <c r="AE70">
        <f t="shared" si="74"/>
        <v>0</v>
      </c>
      <c r="AF70">
        <f t="shared" si="74"/>
        <v>0</v>
      </c>
      <c r="AG70">
        <f t="shared" si="74"/>
        <v>0</v>
      </c>
      <c r="AH70">
        <f t="shared" si="74"/>
        <v>0</v>
      </c>
      <c r="AI70">
        <f t="shared" si="74"/>
        <v>0</v>
      </c>
      <c r="AJ70">
        <f t="shared" si="74"/>
        <v>0</v>
      </c>
      <c r="AK70">
        <f t="shared" si="74"/>
        <v>0</v>
      </c>
      <c r="AL70">
        <f t="shared" si="74"/>
        <v>0</v>
      </c>
      <c r="AM70">
        <f t="shared" si="74"/>
        <v>0</v>
      </c>
      <c r="AN70">
        <f t="shared" si="74"/>
        <v>0</v>
      </c>
      <c r="AO70">
        <f t="shared" si="74"/>
        <v>365</v>
      </c>
      <c r="AP70">
        <f t="shared" si="74"/>
        <v>335</v>
      </c>
      <c r="AQ70">
        <f t="shared" si="74"/>
        <v>304</v>
      </c>
      <c r="AR70">
        <f t="shared" si="56"/>
        <v>274</v>
      </c>
      <c r="AS70">
        <f t="shared" si="56"/>
        <v>243</v>
      </c>
      <c r="AT70">
        <f t="shared" si="56"/>
        <v>212</v>
      </c>
      <c r="AU70">
        <f t="shared" si="56"/>
        <v>182</v>
      </c>
      <c r="AV70">
        <f t="shared" si="56"/>
        <v>151</v>
      </c>
      <c r="AW70">
        <f t="shared" si="56"/>
        <v>121</v>
      </c>
      <c r="AX70">
        <f t="shared" si="56"/>
        <v>90</v>
      </c>
      <c r="AY70">
        <f t="shared" si="57"/>
        <v>0</v>
      </c>
      <c r="AZ70">
        <f t="shared" si="58"/>
        <v>0</v>
      </c>
      <c r="BA70">
        <f t="shared" si="59"/>
        <v>0</v>
      </c>
      <c r="BB70">
        <f t="shared" si="60"/>
        <v>0</v>
      </c>
      <c r="BC70">
        <f t="shared" si="61"/>
        <v>0</v>
      </c>
      <c r="BD70">
        <f t="shared" si="62"/>
        <v>0</v>
      </c>
      <c r="BE70">
        <f t="shared" si="63"/>
        <v>0</v>
      </c>
      <c r="BF70">
        <f t="shared" si="64"/>
        <v>0</v>
      </c>
      <c r="BG70">
        <f t="shared" si="23"/>
        <v>0</v>
      </c>
      <c r="BH70">
        <f t="shared" si="24"/>
        <v>0</v>
      </c>
      <c r="BI70">
        <f t="shared" si="25"/>
        <v>0</v>
      </c>
      <c r="BJ70">
        <f t="shared" si="26"/>
        <v>0</v>
      </c>
      <c r="BK70">
        <f t="shared" si="27"/>
        <v>365</v>
      </c>
      <c r="BL70">
        <f t="shared" si="28"/>
        <v>335</v>
      </c>
      <c r="BM70">
        <f t="shared" si="29"/>
        <v>304</v>
      </c>
      <c r="BN70">
        <f t="shared" si="30"/>
        <v>274</v>
      </c>
      <c r="BO70">
        <f t="shared" si="31"/>
        <v>243</v>
      </c>
      <c r="BP70">
        <f t="shared" si="32"/>
        <v>212</v>
      </c>
      <c r="BQ70">
        <f t="shared" si="33"/>
        <v>182</v>
      </c>
      <c r="BR70">
        <f t="shared" si="34"/>
        <v>151</v>
      </c>
      <c r="BS70">
        <f t="shared" si="35"/>
        <v>121</v>
      </c>
      <c r="BT70">
        <f t="shared" si="36"/>
        <v>90</v>
      </c>
    </row>
    <row r="71" spans="1:72" ht="12.95" customHeight="1" x14ac:dyDescent="0.2">
      <c r="A71">
        <f t="shared" si="40"/>
        <v>2026</v>
      </c>
      <c r="B71">
        <f t="shared" si="65"/>
        <v>5</v>
      </c>
      <c r="C71">
        <f t="shared" si="66"/>
        <v>2</v>
      </c>
      <c r="D71" s="11">
        <f>prod!A68</f>
        <v>46143</v>
      </c>
      <c r="E71" s="11">
        <f t="shared" si="67"/>
        <v>46507</v>
      </c>
      <c r="F71" s="10" t="str">
        <f>prod!B68</f>
        <v>משאיות חובה</v>
      </c>
      <c r="G71" s="10" t="str">
        <f>prod!C68</f>
        <v xml:space="preserve">חובה משאיות </v>
      </c>
      <c r="H71" s="10">
        <f>prod!D68</f>
        <v>2240000</v>
      </c>
      <c r="I71" s="10">
        <f>SUMIFS(info!C:C,info!$A:$A,data!$A71,info!$B:$B,data!$G71)</f>
        <v>0.05</v>
      </c>
      <c r="J71" s="10">
        <f>SUMIFS(info!D:D,info!$A:$A,data!$A71,info!$B:$B,data!$G71)</f>
        <v>0.95</v>
      </c>
      <c r="K71" s="10">
        <f>SUMIFS(info!E:E,info!$A:$A,data!$A71,info!$B:$B,data!$G71)</f>
        <v>0.15</v>
      </c>
      <c r="L71" s="10">
        <f>SUMIFS(info!F:F,info!$A:$A,data!$A71,info!$B:$B,data!$G71)</f>
        <v>0.9</v>
      </c>
      <c r="M71" s="10">
        <f>IF(SUMIFS(info!$C$25:$C$27,info!$A$25:$A$27,data!A71,info!$B$25:$B$27,data!F71)&lt;=0,1,SUMIFS(info!$C$25:$C$27,info!$A$25:$A$27,data!A71,info!$B$25:$B$27,data!F71))*H71</f>
        <v>1778560</v>
      </c>
      <c r="N71" s="10">
        <f t="shared" si="68"/>
        <v>2128000</v>
      </c>
      <c r="O71" s="10">
        <f t="shared" si="69"/>
        <v>112000</v>
      </c>
      <c r="P71" s="10">
        <f t="shared" si="70"/>
        <v>319200</v>
      </c>
      <c r="Q71" s="10">
        <f t="shared" si="71"/>
        <v>2016000</v>
      </c>
      <c r="R71" s="10">
        <f t="shared" si="72"/>
        <v>1915200</v>
      </c>
      <c r="S71" s="10">
        <f t="shared" si="73"/>
        <v>0</v>
      </c>
      <c r="T71" s="10">
        <f t="shared" si="73"/>
        <v>0</v>
      </c>
      <c r="U71" s="10">
        <f t="shared" si="73"/>
        <v>0</v>
      </c>
      <c r="V71" s="10">
        <f t="shared" si="73"/>
        <v>0</v>
      </c>
      <c r="W71" s="10">
        <f t="shared" si="73"/>
        <v>0</v>
      </c>
      <c r="X71" s="10">
        <f t="shared" si="73"/>
        <v>1481321.2054794522</v>
      </c>
      <c r="Y71" s="10">
        <f t="shared" si="73"/>
        <v>1033026.6301369863</v>
      </c>
      <c r="Z71" s="10">
        <f t="shared" si="73"/>
        <v>584732.05479452061</v>
      </c>
      <c r="AA71" s="10"/>
      <c r="AB71" s="10"/>
      <c r="AC71">
        <f t="shared" si="74"/>
        <v>0</v>
      </c>
      <c r="AD71">
        <f t="shared" si="74"/>
        <v>0</v>
      </c>
      <c r="AE71">
        <f t="shared" si="74"/>
        <v>0</v>
      </c>
      <c r="AF71">
        <f t="shared" si="74"/>
        <v>0</v>
      </c>
      <c r="AG71">
        <f t="shared" si="74"/>
        <v>0</v>
      </c>
      <c r="AH71">
        <f t="shared" si="74"/>
        <v>0</v>
      </c>
      <c r="AI71">
        <f t="shared" si="74"/>
        <v>0</v>
      </c>
      <c r="AJ71">
        <f t="shared" si="74"/>
        <v>0</v>
      </c>
      <c r="AK71">
        <f t="shared" si="74"/>
        <v>0</v>
      </c>
      <c r="AL71">
        <f t="shared" si="74"/>
        <v>0</v>
      </c>
      <c r="AM71">
        <f t="shared" si="74"/>
        <v>0</v>
      </c>
      <c r="AN71">
        <f t="shared" si="74"/>
        <v>0</v>
      </c>
      <c r="AO71">
        <f t="shared" si="74"/>
        <v>0</v>
      </c>
      <c r="AP71">
        <f t="shared" si="74"/>
        <v>365</v>
      </c>
      <c r="AQ71">
        <f t="shared" si="74"/>
        <v>334</v>
      </c>
      <c r="AR71">
        <f t="shared" si="56"/>
        <v>304</v>
      </c>
      <c r="AS71">
        <f t="shared" si="56"/>
        <v>273</v>
      </c>
      <c r="AT71">
        <f t="shared" si="56"/>
        <v>242</v>
      </c>
      <c r="AU71">
        <f t="shared" si="56"/>
        <v>212</v>
      </c>
      <c r="AV71">
        <f t="shared" si="56"/>
        <v>181</v>
      </c>
      <c r="AW71">
        <f t="shared" si="56"/>
        <v>151</v>
      </c>
      <c r="AX71">
        <f t="shared" si="56"/>
        <v>120</v>
      </c>
      <c r="AY71">
        <f t="shared" si="57"/>
        <v>0</v>
      </c>
      <c r="AZ71">
        <f t="shared" si="58"/>
        <v>0</v>
      </c>
      <c r="BA71">
        <f t="shared" si="59"/>
        <v>0</v>
      </c>
      <c r="BB71">
        <f t="shared" si="60"/>
        <v>0</v>
      </c>
      <c r="BC71">
        <f t="shared" si="61"/>
        <v>0</v>
      </c>
      <c r="BD71">
        <f t="shared" si="62"/>
        <v>0</v>
      </c>
      <c r="BE71">
        <f t="shared" si="63"/>
        <v>0</v>
      </c>
      <c r="BF71">
        <f t="shared" si="64"/>
        <v>0</v>
      </c>
      <c r="BG71">
        <f t="shared" si="23"/>
        <v>0</v>
      </c>
      <c r="BH71">
        <f t="shared" si="24"/>
        <v>0</v>
      </c>
      <c r="BI71">
        <f t="shared" si="25"/>
        <v>0</v>
      </c>
      <c r="BJ71">
        <f t="shared" si="26"/>
        <v>0</v>
      </c>
      <c r="BK71">
        <f t="shared" si="27"/>
        <v>0</v>
      </c>
      <c r="BL71">
        <f t="shared" si="28"/>
        <v>365</v>
      </c>
      <c r="BM71">
        <f t="shared" si="29"/>
        <v>334</v>
      </c>
      <c r="BN71">
        <f t="shared" si="30"/>
        <v>304</v>
      </c>
      <c r="BO71">
        <f t="shared" si="31"/>
        <v>273</v>
      </c>
      <c r="BP71">
        <f t="shared" si="32"/>
        <v>242</v>
      </c>
      <c r="BQ71">
        <f t="shared" si="33"/>
        <v>212</v>
      </c>
      <c r="BR71">
        <f t="shared" si="34"/>
        <v>181</v>
      </c>
      <c r="BS71">
        <f t="shared" si="35"/>
        <v>151</v>
      </c>
      <c r="BT71">
        <f t="shared" si="36"/>
        <v>120</v>
      </c>
    </row>
    <row r="72" spans="1:72" ht="12.95" customHeight="1" x14ac:dyDescent="0.2">
      <c r="A72">
        <f t="shared" si="40"/>
        <v>2026</v>
      </c>
      <c r="B72">
        <f t="shared" si="65"/>
        <v>6</v>
      </c>
      <c r="C72">
        <f t="shared" si="66"/>
        <v>2</v>
      </c>
      <c r="D72" s="11">
        <f>prod!A69</f>
        <v>46174</v>
      </c>
      <c r="E72" s="11">
        <f t="shared" si="67"/>
        <v>46538</v>
      </c>
      <c r="F72" s="10" t="str">
        <f>prod!B69</f>
        <v>משאיות חובה</v>
      </c>
      <c r="G72" s="10" t="str">
        <f>prod!C69</f>
        <v xml:space="preserve">חובה משאיות </v>
      </c>
      <c r="H72" s="10">
        <f>prod!D69</f>
        <v>3143000</v>
      </c>
      <c r="I72" s="10">
        <f>SUMIFS(info!C:C,info!$A:$A,data!$A72,info!$B:$B,data!$G72)</f>
        <v>0.05</v>
      </c>
      <c r="J72" s="10">
        <f>SUMIFS(info!D:D,info!$A:$A,data!$A72,info!$B:$B,data!$G72)</f>
        <v>0.95</v>
      </c>
      <c r="K72" s="10">
        <f>SUMIFS(info!E:E,info!$A:$A,data!$A72,info!$B:$B,data!$G72)</f>
        <v>0.15</v>
      </c>
      <c r="L72" s="10">
        <f>SUMIFS(info!F:F,info!$A:$A,data!$A72,info!$B:$B,data!$G72)</f>
        <v>0.9</v>
      </c>
      <c r="M72" s="10">
        <f>IF(SUMIFS(info!$C$25:$C$27,info!$A$25:$A$27,data!A72,info!$B$25:$B$27,data!F72)&lt;=0,1,SUMIFS(info!$C$25:$C$27,info!$A$25:$A$27,data!A72,info!$B$25:$B$27,data!F72))*H72</f>
        <v>2495542</v>
      </c>
      <c r="N72" s="10">
        <f t="shared" si="68"/>
        <v>2985850</v>
      </c>
      <c r="O72" s="10">
        <f t="shared" si="69"/>
        <v>157150</v>
      </c>
      <c r="P72" s="10">
        <f t="shared" si="70"/>
        <v>447877.5</v>
      </c>
      <c r="Q72" s="10">
        <f t="shared" si="71"/>
        <v>2828700</v>
      </c>
      <c r="R72" s="10">
        <f t="shared" si="72"/>
        <v>2687265</v>
      </c>
      <c r="S72" s="10">
        <f t="shared" si="73"/>
        <v>0</v>
      </c>
      <c r="T72" s="10">
        <f t="shared" si="73"/>
        <v>0</v>
      </c>
      <c r="U72" s="10">
        <f t="shared" si="73"/>
        <v>0</v>
      </c>
      <c r="V72" s="10">
        <f t="shared" si="73"/>
        <v>0</v>
      </c>
      <c r="W72" s="10">
        <f t="shared" si="73"/>
        <v>0</v>
      </c>
      <c r="X72" s="10">
        <f t="shared" si="73"/>
        <v>2290428.9589041094</v>
      </c>
      <c r="Y72" s="10">
        <f t="shared" si="73"/>
        <v>1661415.6328767124</v>
      </c>
      <c r="Z72" s="10">
        <f t="shared" si="73"/>
        <v>1032402.3068493151</v>
      </c>
      <c r="AA72" s="10"/>
      <c r="AB72" s="10"/>
      <c r="AC72">
        <f t="shared" si="74"/>
        <v>0</v>
      </c>
      <c r="AD72">
        <f t="shared" si="74"/>
        <v>0</v>
      </c>
      <c r="AE72">
        <f t="shared" si="74"/>
        <v>0</v>
      </c>
      <c r="AF72">
        <f t="shared" si="74"/>
        <v>0</v>
      </c>
      <c r="AG72">
        <f t="shared" si="74"/>
        <v>0</v>
      </c>
      <c r="AH72">
        <f t="shared" si="74"/>
        <v>0</v>
      </c>
      <c r="AI72">
        <f t="shared" si="74"/>
        <v>0</v>
      </c>
      <c r="AJ72">
        <f t="shared" si="74"/>
        <v>0</v>
      </c>
      <c r="AK72">
        <f t="shared" si="74"/>
        <v>0</v>
      </c>
      <c r="AL72">
        <f t="shared" si="74"/>
        <v>0</v>
      </c>
      <c r="AM72">
        <f t="shared" si="74"/>
        <v>0</v>
      </c>
      <c r="AN72">
        <f t="shared" si="74"/>
        <v>0</v>
      </c>
      <c r="AO72">
        <f t="shared" si="74"/>
        <v>0</v>
      </c>
      <c r="AP72">
        <f t="shared" si="74"/>
        <v>0</v>
      </c>
      <c r="AQ72">
        <f t="shared" si="74"/>
        <v>365</v>
      </c>
      <c r="AR72">
        <f t="shared" si="56"/>
        <v>335</v>
      </c>
      <c r="AS72">
        <f t="shared" si="56"/>
        <v>304</v>
      </c>
      <c r="AT72">
        <f t="shared" si="56"/>
        <v>273</v>
      </c>
      <c r="AU72">
        <f t="shared" si="56"/>
        <v>243</v>
      </c>
      <c r="AV72">
        <f t="shared" si="56"/>
        <v>212</v>
      </c>
      <c r="AW72">
        <f t="shared" si="56"/>
        <v>182</v>
      </c>
      <c r="AX72">
        <f t="shared" si="56"/>
        <v>151</v>
      </c>
      <c r="AY72">
        <f t="shared" si="57"/>
        <v>0</v>
      </c>
      <c r="AZ72">
        <f t="shared" si="58"/>
        <v>0</v>
      </c>
      <c r="BA72">
        <f t="shared" si="59"/>
        <v>0</v>
      </c>
      <c r="BB72">
        <f t="shared" si="60"/>
        <v>0</v>
      </c>
      <c r="BC72">
        <f t="shared" si="61"/>
        <v>0</v>
      </c>
      <c r="BD72">
        <f t="shared" si="62"/>
        <v>0</v>
      </c>
      <c r="BE72">
        <f t="shared" si="63"/>
        <v>0</v>
      </c>
      <c r="BF72">
        <f t="shared" si="64"/>
        <v>0</v>
      </c>
      <c r="BG72">
        <f t="shared" si="23"/>
        <v>0</v>
      </c>
      <c r="BH72">
        <f t="shared" si="24"/>
        <v>0</v>
      </c>
      <c r="BI72">
        <f t="shared" si="25"/>
        <v>0</v>
      </c>
      <c r="BJ72">
        <f t="shared" si="26"/>
        <v>0</v>
      </c>
      <c r="BK72">
        <f t="shared" si="27"/>
        <v>0</v>
      </c>
      <c r="BL72">
        <f t="shared" si="28"/>
        <v>0</v>
      </c>
      <c r="BM72">
        <f t="shared" si="29"/>
        <v>365</v>
      </c>
      <c r="BN72">
        <f t="shared" si="30"/>
        <v>335</v>
      </c>
      <c r="BO72">
        <f t="shared" si="31"/>
        <v>304</v>
      </c>
      <c r="BP72">
        <f t="shared" si="32"/>
        <v>273</v>
      </c>
      <c r="BQ72">
        <f t="shared" si="33"/>
        <v>243</v>
      </c>
      <c r="BR72">
        <f t="shared" si="34"/>
        <v>212</v>
      </c>
      <c r="BS72">
        <f t="shared" si="35"/>
        <v>182</v>
      </c>
      <c r="BT72">
        <f t="shared" si="36"/>
        <v>151</v>
      </c>
    </row>
    <row r="73" spans="1:72" ht="12.95" customHeight="1" x14ac:dyDescent="0.2">
      <c r="A73">
        <f t="shared" si="40"/>
        <v>2026</v>
      </c>
      <c r="B73">
        <f t="shared" si="65"/>
        <v>7</v>
      </c>
      <c r="C73">
        <f t="shared" si="66"/>
        <v>3</v>
      </c>
      <c r="D73" s="11">
        <f>prod!A70</f>
        <v>46204</v>
      </c>
      <c r="E73" s="11">
        <f t="shared" si="67"/>
        <v>46568</v>
      </c>
      <c r="F73" s="10" t="str">
        <f>prod!B70</f>
        <v>משאיות חובה</v>
      </c>
      <c r="G73" s="10" t="str">
        <f>prod!C70</f>
        <v xml:space="preserve">חובה משאיות </v>
      </c>
      <c r="H73" s="10">
        <f>prod!D70</f>
        <v>2324000</v>
      </c>
      <c r="I73" s="10">
        <f>SUMIFS(info!C:C,info!$A:$A,data!$A73,info!$B:$B,data!$G73)</f>
        <v>0.05</v>
      </c>
      <c r="J73" s="10">
        <f>SUMIFS(info!D:D,info!$A:$A,data!$A73,info!$B:$B,data!$G73)</f>
        <v>0.95</v>
      </c>
      <c r="K73" s="10">
        <f>SUMIFS(info!E:E,info!$A:$A,data!$A73,info!$B:$B,data!$G73)</f>
        <v>0.15</v>
      </c>
      <c r="L73" s="10">
        <f>SUMIFS(info!F:F,info!$A:$A,data!$A73,info!$B:$B,data!$G73)</f>
        <v>0.9</v>
      </c>
      <c r="M73" s="10">
        <f>IF(SUMIFS(info!$C$25:$C$27,info!$A$25:$A$27,data!A73,info!$B$25:$B$27,data!F73)&lt;=0,1,SUMIFS(info!$C$25:$C$27,info!$A$25:$A$27,data!A73,info!$B$25:$B$27,data!F73))*H73</f>
        <v>1845256</v>
      </c>
      <c r="N73" s="10">
        <f t="shared" si="68"/>
        <v>2207800</v>
      </c>
      <c r="O73" s="10">
        <f t="shared" si="69"/>
        <v>116200</v>
      </c>
      <c r="P73" s="10">
        <f t="shared" si="70"/>
        <v>331170</v>
      </c>
      <c r="Q73" s="10">
        <f t="shared" si="71"/>
        <v>2091600</v>
      </c>
      <c r="R73" s="10">
        <f t="shared" si="72"/>
        <v>1987020</v>
      </c>
      <c r="S73" s="10">
        <f t="shared" si="73"/>
        <v>0</v>
      </c>
      <c r="T73" s="10">
        <f t="shared" si="73"/>
        <v>0</v>
      </c>
      <c r="U73" s="10">
        <f t="shared" si="73"/>
        <v>0</v>
      </c>
      <c r="V73" s="10">
        <f t="shared" si="73"/>
        <v>0</v>
      </c>
      <c r="W73" s="10">
        <f t="shared" si="73"/>
        <v>0</v>
      </c>
      <c r="X73" s="10">
        <f t="shared" si="73"/>
        <v>0</v>
      </c>
      <c r="Y73" s="10">
        <f t="shared" si="73"/>
        <v>1380150.3780821918</v>
      </c>
      <c r="Z73" s="10">
        <f t="shared" si="73"/>
        <v>915044.75616438361</v>
      </c>
      <c r="AA73" s="10"/>
      <c r="AB73" s="10"/>
      <c r="AC73">
        <f t="shared" si="74"/>
        <v>0</v>
      </c>
      <c r="AD73">
        <f t="shared" si="74"/>
        <v>0</v>
      </c>
      <c r="AE73">
        <f t="shared" si="74"/>
        <v>0</v>
      </c>
      <c r="AF73">
        <f t="shared" si="74"/>
        <v>0</v>
      </c>
      <c r="AG73">
        <f t="shared" si="74"/>
        <v>0</v>
      </c>
      <c r="AH73">
        <f t="shared" si="74"/>
        <v>0</v>
      </c>
      <c r="AI73">
        <f t="shared" si="74"/>
        <v>0</v>
      </c>
      <c r="AJ73">
        <f t="shared" si="74"/>
        <v>0</v>
      </c>
      <c r="AK73">
        <f t="shared" si="74"/>
        <v>0</v>
      </c>
      <c r="AL73">
        <f t="shared" si="74"/>
        <v>0</v>
      </c>
      <c r="AM73">
        <f t="shared" si="74"/>
        <v>0</v>
      </c>
      <c r="AN73">
        <f t="shared" si="74"/>
        <v>0</v>
      </c>
      <c r="AO73">
        <f t="shared" si="74"/>
        <v>0</v>
      </c>
      <c r="AP73">
        <f t="shared" si="74"/>
        <v>0</v>
      </c>
      <c r="AQ73">
        <f t="shared" si="74"/>
        <v>0</v>
      </c>
      <c r="AR73">
        <f t="shared" si="56"/>
        <v>365</v>
      </c>
      <c r="AS73">
        <f t="shared" si="56"/>
        <v>334</v>
      </c>
      <c r="AT73">
        <f t="shared" si="56"/>
        <v>303</v>
      </c>
      <c r="AU73">
        <f t="shared" si="56"/>
        <v>273</v>
      </c>
      <c r="AV73">
        <f t="shared" si="56"/>
        <v>242</v>
      </c>
      <c r="AW73">
        <f t="shared" si="56"/>
        <v>212</v>
      </c>
      <c r="AX73">
        <f t="shared" si="56"/>
        <v>181</v>
      </c>
      <c r="AY73">
        <f t="shared" si="57"/>
        <v>0</v>
      </c>
      <c r="AZ73">
        <f t="shared" si="58"/>
        <v>0</v>
      </c>
      <c r="BA73">
        <f t="shared" si="59"/>
        <v>0</v>
      </c>
      <c r="BB73">
        <f t="shared" si="60"/>
        <v>0</v>
      </c>
      <c r="BC73">
        <f t="shared" si="61"/>
        <v>0</v>
      </c>
      <c r="BD73">
        <f t="shared" si="62"/>
        <v>0</v>
      </c>
      <c r="BE73">
        <f t="shared" si="63"/>
        <v>0</v>
      </c>
      <c r="BF73">
        <f t="shared" si="64"/>
        <v>0</v>
      </c>
      <c r="BG73">
        <f t="shared" si="23"/>
        <v>0</v>
      </c>
      <c r="BH73">
        <f t="shared" si="24"/>
        <v>0</v>
      </c>
      <c r="BI73">
        <f t="shared" si="25"/>
        <v>0</v>
      </c>
      <c r="BJ73">
        <f t="shared" si="26"/>
        <v>0</v>
      </c>
      <c r="BK73">
        <f t="shared" si="27"/>
        <v>0</v>
      </c>
      <c r="BL73">
        <f t="shared" si="28"/>
        <v>0</v>
      </c>
      <c r="BM73">
        <f t="shared" si="29"/>
        <v>0</v>
      </c>
      <c r="BN73">
        <f t="shared" si="30"/>
        <v>365</v>
      </c>
      <c r="BO73">
        <f t="shared" si="31"/>
        <v>334</v>
      </c>
      <c r="BP73">
        <f t="shared" si="32"/>
        <v>303</v>
      </c>
      <c r="BQ73">
        <f t="shared" si="33"/>
        <v>273</v>
      </c>
      <c r="BR73">
        <f t="shared" si="34"/>
        <v>242</v>
      </c>
      <c r="BS73">
        <f t="shared" si="35"/>
        <v>212</v>
      </c>
      <c r="BT73">
        <f t="shared" si="36"/>
        <v>181</v>
      </c>
    </row>
    <row r="74" spans="1:72" ht="12.95" customHeight="1" x14ac:dyDescent="0.2">
      <c r="A74">
        <f t="shared" si="40"/>
        <v>2026</v>
      </c>
      <c r="B74">
        <f t="shared" si="65"/>
        <v>8</v>
      </c>
      <c r="C74">
        <f t="shared" si="66"/>
        <v>3</v>
      </c>
      <c r="D74" s="11">
        <f>prod!A71</f>
        <v>46235</v>
      </c>
      <c r="E74" s="11">
        <f t="shared" si="67"/>
        <v>46599</v>
      </c>
      <c r="F74" s="10" t="str">
        <f>prod!B71</f>
        <v>משאיות חובה</v>
      </c>
      <c r="G74" s="10" t="str">
        <f>prod!C71</f>
        <v xml:space="preserve">חובה משאיות </v>
      </c>
      <c r="H74" s="10">
        <f>prod!D71</f>
        <v>2633750</v>
      </c>
      <c r="I74" s="10">
        <f>SUMIFS(info!C:C,info!$A:$A,data!$A74,info!$B:$B,data!$G74)</f>
        <v>0.05</v>
      </c>
      <c r="J74" s="10">
        <f>SUMIFS(info!D:D,info!$A:$A,data!$A74,info!$B:$B,data!$G74)</f>
        <v>0.95</v>
      </c>
      <c r="K74" s="10">
        <f>SUMIFS(info!E:E,info!$A:$A,data!$A74,info!$B:$B,data!$G74)</f>
        <v>0.15</v>
      </c>
      <c r="L74" s="10">
        <f>SUMIFS(info!F:F,info!$A:$A,data!$A74,info!$B:$B,data!$G74)</f>
        <v>0.9</v>
      </c>
      <c r="M74" s="10">
        <f>IF(SUMIFS(info!$C$25:$C$27,info!$A$25:$A$27,data!A74,info!$B$25:$B$27,data!F74)&lt;=0,1,SUMIFS(info!$C$25:$C$27,info!$A$25:$A$27,data!A74,info!$B$25:$B$27,data!F74))*H74</f>
        <v>2091197.5</v>
      </c>
      <c r="N74" s="10">
        <f t="shared" si="68"/>
        <v>2502062.5</v>
      </c>
      <c r="O74" s="10">
        <f t="shared" si="69"/>
        <v>131687.5</v>
      </c>
      <c r="P74" s="10">
        <f t="shared" si="70"/>
        <v>375309.375</v>
      </c>
      <c r="Q74" s="10">
        <f t="shared" si="71"/>
        <v>2370375</v>
      </c>
      <c r="R74" s="10">
        <f t="shared" si="72"/>
        <v>2251856.25</v>
      </c>
      <c r="S74" s="10">
        <f t="shared" si="73"/>
        <v>0</v>
      </c>
      <c r="T74" s="10">
        <f t="shared" si="73"/>
        <v>0</v>
      </c>
      <c r="U74" s="10">
        <f t="shared" si="73"/>
        <v>0</v>
      </c>
      <c r="V74" s="10">
        <f t="shared" si="73"/>
        <v>0</v>
      </c>
      <c r="W74" s="10">
        <f t="shared" si="73"/>
        <v>0</v>
      </c>
      <c r="X74" s="10">
        <f t="shared" si="73"/>
        <v>0</v>
      </c>
      <c r="Y74" s="10">
        <f t="shared" si="73"/>
        <v>1741709.6986301369</v>
      </c>
      <c r="Z74" s="10">
        <f t="shared" si="73"/>
        <v>1214613.3424657534</v>
      </c>
      <c r="AA74" s="10"/>
      <c r="AB74" s="10"/>
      <c r="AC74">
        <f t="shared" si="74"/>
        <v>0</v>
      </c>
      <c r="AD74">
        <f t="shared" si="74"/>
        <v>0</v>
      </c>
      <c r="AE74">
        <f t="shared" si="74"/>
        <v>0</v>
      </c>
      <c r="AF74">
        <f t="shared" si="74"/>
        <v>0</v>
      </c>
      <c r="AG74">
        <f t="shared" si="74"/>
        <v>0</v>
      </c>
      <c r="AH74">
        <f t="shared" si="74"/>
        <v>0</v>
      </c>
      <c r="AI74">
        <f t="shared" si="74"/>
        <v>0</v>
      </c>
      <c r="AJ74">
        <f t="shared" si="74"/>
        <v>0</v>
      </c>
      <c r="AK74">
        <f t="shared" si="74"/>
        <v>0</v>
      </c>
      <c r="AL74">
        <f t="shared" si="74"/>
        <v>0</v>
      </c>
      <c r="AM74">
        <f t="shared" si="74"/>
        <v>0</v>
      </c>
      <c r="AN74">
        <f t="shared" si="74"/>
        <v>0</v>
      </c>
      <c r="AO74">
        <f t="shared" si="74"/>
        <v>0</v>
      </c>
      <c r="AP74">
        <f t="shared" si="74"/>
        <v>0</v>
      </c>
      <c r="AQ74">
        <f t="shared" si="74"/>
        <v>0</v>
      </c>
      <c r="AR74">
        <f t="shared" si="56"/>
        <v>0</v>
      </c>
      <c r="AS74">
        <f t="shared" si="56"/>
        <v>365</v>
      </c>
      <c r="AT74">
        <f t="shared" si="56"/>
        <v>334</v>
      </c>
      <c r="AU74">
        <f t="shared" si="56"/>
        <v>304</v>
      </c>
      <c r="AV74">
        <f t="shared" si="56"/>
        <v>273</v>
      </c>
      <c r="AW74">
        <f t="shared" si="56"/>
        <v>243</v>
      </c>
      <c r="AX74">
        <f t="shared" si="56"/>
        <v>212</v>
      </c>
      <c r="AY74">
        <f t="shared" si="57"/>
        <v>0</v>
      </c>
      <c r="AZ74">
        <f t="shared" si="58"/>
        <v>0</v>
      </c>
      <c r="BA74">
        <f t="shared" si="59"/>
        <v>0</v>
      </c>
      <c r="BB74">
        <f t="shared" si="60"/>
        <v>0</v>
      </c>
      <c r="BC74">
        <f t="shared" si="61"/>
        <v>0</v>
      </c>
      <c r="BD74">
        <f t="shared" si="62"/>
        <v>0</v>
      </c>
      <c r="BE74">
        <f t="shared" si="63"/>
        <v>0</v>
      </c>
      <c r="BF74">
        <f t="shared" si="64"/>
        <v>0</v>
      </c>
      <c r="BG74">
        <f t="shared" si="23"/>
        <v>0</v>
      </c>
      <c r="BH74">
        <f t="shared" si="24"/>
        <v>0</v>
      </c>
      <c r="BI74">
        <f t="shared" si="25"/>
        <v>0</v>
      </c>
      <c r="BJ74">
        <f t="shared" si="26"/>
        <v>0</v>
      </c>
      <c r="BK74">
        <f t="shared" si="27"/>
        <v>0</v>
      </c>
      <c r="BL74">
        <f t="shared" si="28"/>
        <v>0</v>
      </c>
      <c r="BM74">
        <f t="shared" si="29"/>
        <v>0</v>
      </c>
      <c r="BN74">
        <f t="shared" si="30"/>
        <v>0</v>
      </c>
      <c r="BO74">
        <f t="shared" si="31"/>
        <v>365</v>
      </c>
      <c r="BP74">
        <f t="shared" si="32"/>
        <v>334</v>
      </c>
      <c r="BQ74">
        <f t="shared" si="33"/>
        <v>304</v>
      </c>
      <c r="BR74">
        <f t="shared" si="34"/>
        <v>273</v>
      </c>
      <c r="BS74">
        <f t="shared" si="35"/>
        <v>243</v>
      </c>
      <c r="BT74">
        <f t="shared" si="36"/>
        <v>212</v>
      </c>
    </row>
    <row r="75" spans="1:72" ht="12.95" customHeight="1" x14ac:dyDescent="0.2">
      <c r="A75">
        <f t="shared" si="40"/>
        <v>2026</v>
      </c>
      <c r="B75">
        <f t="shared" si="65"/>
        <v>9</v>
      </c>
      <c r="C75">
        <f t="shared" si="66"/>
        <v>3</v>
      </c>
      <c r="D75" s="11">
        <f>prod!A72</f>
        <v>46266</v>
      </c>
      <c r="E75" s="11">
        <f t="shared" si="67"/>
        <v>46630</v>
      </c>
      <c r="F75" s="10" t="str">
        <f>prod!B72</f>
        <v>משאיות חובה</v>
      </c>
      <c r="G75" s="10" t="str">
        <f>prod!C72</f>
        <v xml:space="preserve">חובה משאיות </v>
      </c>
      <c r="H75" s="10">
        <f>prod!D72</f>
        <v>6476750</v>
      </c>
      <c r="I75" s="10">
        <f>SUMIFS(info!C:C,info!$A:$A,data!$A75,info!$B:$B,data!$G75)</f>
        <v>0.05</v>
      </c>
      <c r="J75" s="10">
        <f>SUMIFS(info!D:D,info!$A:$A,data!$A75,info!$B:$B,data!$G75)</f>
        <v>0.95</v>
      </c>
      <c r="K75" s="10">
        <f>SUMIFS(info!E:E,info!$A:$A,data!$A75,info!$B:$B,data!$G75)</f>
        <v>0.15</v>
      </c>
      <c r="L75" s="10">
        <f>SUMIFS(info!F:F,info!$A:$A,data!$A75,info!$B:$B,data!$G75)</f>
        <v>0.9</v>
      </c>
      <c r="M75" s="10">
        <f>IF(SUMIFS(info!$C$25:$C$27,info!$A$25:$A$27,data!A75,info!$B$25:$B$27,data!F75)&lt;=0,1,SUMIFS(info!$C$25:$C$27,info!$A$25:$A$27,data!A75,info!$B$25:$B$27,data!F75))*H75</f>
        <v>5142539.5</v>
      </c>
      <c r="N75" s="10">
        <f t="shared" si="68"/>
        <v>6152912.5</v>
      </c>
      <c r="O75" s="10">
        <f t="shared" si="69"/>
        <v>323837.5</v>
      </c>
      <c r="P75" s="10">
        <f t="shared" si="70"/>
        <v>922936.875</v>
      </c>
      <c r="Q75" s="10">
        <f t="shared" si="71"/>
        <v>5829075</v>
      </c>
      <c r="R75" s="10">
        <f t="shared" si="72"/>
        <v>5537621.25</v>
      </c>
      <c r="S75" s="10">
        <f t="shared" si="73"/>
        <v>0</v>
      </c>
      <c r="T75" s="10">
        <f t="shared" si="73"/>
        <v>0</v>
      </c>
      <c r="U75" s="10">
        <f t="shared" si="73"/>
        <v>0</v>
      </c>
      <c r="V75" s="10">
        <f t="shared" si="73"/>
        <v>0</v>
      </c>
      <c r="W75" s="10">
        <f t="shared" si="73"/>
        <v>0</v>
      </c>
      <c r="X75" s="10">
        <f t="shared" si="73"/>
        <v>0</v>
      </c>
      <c r="Y75" s="10">
        <f t="shared" si="73"/>
        <v>4719865.0205479451</v>
      </c>
      <c r="Z75" s="10">
        <f t="shared" si="73"/>
        <v>3423663.2835616437</v>
      </c>
      <c r="AA75" s="10"/>
      <c r="AB75" s="10"/>
      <c r="AC75">
        <f t="shared" si="74"/>
        <v>0</v>
      </c>
      <c r="AD75">
        <f t="shared" si="74"/>
        <v>0</v>
      </c>
      <c r="AE75">
        <f t="shared" si="74"/>
        <v>0</v>
      </c>
      <c r="AF75">
        <f t="shared" si="74"/>
        <v>0</v>
      </c>
      <c r="AG75">
        <f t="shared" si="74"/>
        <v>0</v>
      </c>
      <c r="AH75">
        <f t="shared" si="74"/>
        <v>0</v>
      </c>
      <c r="AI75">
        <f t="shared" si="74"/>
        <v>0</v>
      </c>
      <c r="AJ75">
        <f t="shared" si="74"/>
        <v>0</v>
      </c>
      <c r="AK75">
        <f t="shared" si="74"/>
        <v>0</v>
      </c>
      <c r="AL75">
        <f t="shared" si="74"/>
        <v>0</v>
      </c>
      <c r="AM75">
        <f t="shared" si="74"/>
        <v>0</v>
      </c>
      <c r="AN75">
        <f t="shared" si="74"/>
        <v>0</v>
      </c>
      <c r="AO75">
        <f t="shared" si="74"/>
        <v>0</v>
      </c>
      <c r="AP75">
        <f t="shared" si="74"/>
        <v>0</v>
      </c>
      <c r="AQ75">
        <f t="shared" si="74"/>
        <v>0</v>
      </c>
      <c r="AR75">
        <f t="shared" si="56"/>
        <v>0</v>
      </c>
      <c r="AS75">
        <f t="shared" si="56"/>
        <v>0</v>
      </c>
      <c r="AT75">
        <f t="shared" si="56"/>
        <v>365</v>
      </c>
      <c r="AU75">
        <f t="shared" si="56"/>
        <v>335</v>
      </c>
      <c r="AV75">
        <f t="shared" si="56"/>
        <v>304</v>
      </c>
      <c r="AW75">
        <f t="shared" si="56"/>
        <v>274</v>
      </c>
      <c r="AX75">
        <f t="shared" si="56"/>
        <v>243</v>
      </c>
      <c r="AY75">
        <f t="shared" si="57"/>
        <v>0</v>
      </c>
      <c r="AZ75">
        <f t="shared" si="58"/>
        <v>0</v>
      </c>
      <c r="BA75">
        <f t="shared" si="59"/>
        <v>0</v>
      </c>
      <c r="BB75">
        <f t="shared" si="60"/>
        <v>0</v>
      </c>
      <c r="BC75">
        <f t="shared" si="61"/>
        <v>0</v>
      </c>
      <c r="BD75">
        <f t="shared" si="62"/>
        <v>0</v>
      </c>
      <c r="BE75">
        <f t="shared" si="63"/>
        <v>0</v>
      </c>
      <c r="BF75">
        <f t="shared" si="64"/>
        <v>0</v>
      </c>
      <c r="BG75">
        <f t="shared" si="23"/>
        <v>0</v>
      </c>
      <c r="BH75">
        <f t="shared" si="24"/>
        <v>0</v>
      </c>
      <c r="BI75">
        <f t="shared" si="25"/>
        <v>0</v>
      </c>
      <c r="BJ75">
        <f t="shared" si="26"/>
        <v>0</v>
      </c>
      <c r="BK75">
        <f t="shared" si="27"/>
        <v>0</v>
      </c>
      <c r="BL75">
        <f t="shared" si="28"/>
        <v>0</v>
      </c>
      <c r="BM75">
        <f t="shared" si="29"/>
        <v>0</v>
      </c>
      <c r="BN75">
        <f t="shared" si="30"/>
        <v>0</v>
      </c>
      <c r="BO75">
        <f t="shared" si="31"/>
        <v>0</v>
      </c>
      <c r="BP75">
        <f t="shared" si="32"/>
        <v>365</v>
      </c>
      <c r="BQ75">
        <f t="shared" si="33"/>
        <v>335</v>
      </c>
      <c r="BR75">
        <f t="shared" si="34"/>
        <v>304</v>
      </c>
      <c r="BS75">
        <f t="shared" si="35"/>
        <v>274</v>
      </c>
      <c r="BT75">
        <f t="shared" si="36"/>
        <v>243</v>
      </c>
    </row>
    <row r="76" spans="1:72" ht="12.95" customHeight="1" x14ac:dyDescent="0.2">
      <c r="A76">
        <f t="shared" si="40"/>
        <v>2026</v>
      </c>
      <c r="B76">
        <f t="shared" si="65"/>
        <v>10</v>
      </c>
      <c r="C76">
        <f t="shared" si="66"/>
        <v>4</v>
      </c>
      <c r="D76" s="11">
        <f>prod!A73</f>
        <v>46296</v>
      </c>
      <c r="E76" s="11">
        <f t="shared" si="67"/>
        <v>46660</v>
      </c>
      <c r="F76" s="10" t="str">
        <f>prod!B73</f>
        <v>משאיות חובה</v>
      </c>
      <c r="G76" s="10" t="str">
        <f>prod!C73</f>
        <v xml:space="preserve">חובה משאיות </v>
      </c>
      <c r="H76" s="10">
        <f>prod!D73</f>
        <v>5552750</v>
      </c>
      <c r="I76" s="10">
        <f>SUMIFS(info!C:C,info!$A:$A,data!$A76,info!$B:$B,data!$G76)</f>
        <v>0.05</v>
      </c>
      <c r="J76" s="10">
        <f>SUMIFS(info!D:D,info!$A:$A,data!$A76,info!$B:$B,data!$G76)</f>
        <v>0.95</v>
      </c>
      <c r="K76" s="10">
        <f>SUMIFS(info!E:E,info!$A:$A,data!$A76,info!$B:$B,data!$G76)</f>
        <v>0.15</v>
      </c>
      <c r="L76" s="10">
        <f>SUMIFS(info!F:F,info!$A:$A,data!$A76,info!$B:$B,data!$G76)</f>
        <v>0.9</v>
      </c>
      <c r="M76" s="10">
        <f>IF(SUMIFS(info!$C$25:$C$27,info!$A$25:$A$27,data!A76,info!$B$25:$B$27,data!F76)&lt;=0,1,SUMIFS(info!$C$25:$C$27,info!$A$25:$A$27,data!A76,info!$B$25:$B$27,data!F76))*H76</f>
        <v>4408883.5</v>
      </c>
      <c r="N76" s="10">
        <f t="shared" si="68"/>
        <v>5275112.5</v>
      </c>
      <c r="O76" s="10">
        <f t="shared" si="69"/>
        <v>277637.5</v>
      </c>
      <c r="P76" s="10">
        <f t="shared" si="70"/>
        <v>791266.875</v>
      </c>
      <c r="Q76" s="10">
        <f t="shared" si="71"/>
        <v>4997475</v>
      </c>
      <c r="R76" s="10">
        <f t="shared" si="72"/>
        <v>4747601.25</v>
      </c>
      <c r="S76" s="10">
        <f t="shared" si="73"/>
        <v>0</v>
      </c>
      <c r="T76" s="10">
        <f t="shared" si="73"/>
        <v>0</v>
      </c>
      <c r="U76" s="10">
        <f t="shared" si="73"/>
        <v>0</v>
      </c>
      <c r="V76" s="10">
        <f t="shared" si="73"/>
        <v>0</v>
      </c>
      <c r="W76" s="10">
        <f t="shared" si="73"/>
        <v>0</v>
      </c>
      <c r="X76" s="10">
        <f t="shared" si="73"/>
        <v>0</v>
      </c>
      <c r="Y76" s="10">
        <f t="shared" si="73"/>
        <v>0</v>
      </c>
      <c r="Z76" s="10">
        <f t="shared" si="73"/>
        <v>3297603.2753424658</v>
      </c>
      <c r="AA76" s="10"/>
      <c r="AB76" s="10"/>
      <c r="AC76">
        <f t="shared" si="74"/>
        <v>0</v>
      </c>
      <c r="AD76">
        <f t="shared" si="74"/>
        <v>0</v>
      </c>
      <c r="AE76">
        <f t="shared" si="74"/>
        <v>0</v>
      </c>
      <c r="AF76">
        <f t="shared" si="74"/>
        <v>0</v>
      </c>
      <c r="AG76">
        <f t="shared" si="74"/>
        <v>0</v>
      </c>
      <c r="AH76">
        <f t="shared" si="74"/>
        <v>0</v>
      </c>
      <c r="AI76">
        <f t="shared" si="74"/>
        <v>0</v>
      </c>
      <c r="AJ76">
        <f t="shared" si="74"/>
        <v>0</v>
      </c>
      <c r="AK76">
        <f t="shared" si="74"/>
        <v>0</v>
      </c>
      <c r="AL76">
        <f t="shared" si="74"/>
        <v>0</v>
      </c>
      <c r="AM76">
        <f t="shared" si="74"/>
        <v>0</v>
      </c>
      <c r="AN76">
        <f t="shared" si="74"/>
        <v>0</v>
      </c>
      <c r="AO76">
        <f t="shared" si="74"/>
        <v>0</v>
      </c>
      <c r="AP76">
        <f t="shared" si="74"/>
        <v>0</v>
      </c>
      <c r="AQ76">
        <f t="shared" si="74"/>
        <v>0</v>
      </c>
      <c r="AR76">
        <f t="shared" si="56"/>
        <v>0</v>
      </c>
      <c r="AS76">
        <f t="shared" si="56"/>
        <v>0</v>
      </c>
      <c r="AT76">
        <f t="shared" si="56"/>
        <v>0</v>
      </c>
      <c r="AU76">
        <f t="shared" si="56"/>
        <v>365</v>
      </c>
      <c r="AV76">
        <f t="shared" si="56"/>
        <v>334</v>
      </c>
      <c r="AW76">
        <f t="shared" si="56"/>
        <v>304</v>
      </c>
      <c r="AX76">
        <f t="shared" si="56"/>
        <v>273</v>
      </c>
      <c r="AY76">
        <f t="shared" si="57"/>
        <v>0</v>
      </c>
      <c r="AZ76">
        <f t="shared" si="58"/>
        <v>0</v>
      </c>
      <c r="BA76">
        <f t="shared" si="59"/>
        <v>0</v>
      </c>
      <c r="BB76">
        <f t="shared" si="60"/>
        <v>0</v>
      </c>
      <c r="BC76">
        <f t="shared" si="61"/>
        <v>0</v>
      </c>
      <c r="BD76">
        <f t="shared" si="62"/>
        <v>0</v>
      </c>
      <c r="BE76">
        <f t="shared" si="63"/>
        <v>0</v>
      </c>
      <c r="BF76">
        <f t="shared" si="64"/>
        <v>0</v>
      </c>
      <c r="BG76">
        <f t="shared" si="23"/>
        <v>0</v>
      </c>
      <c r="BH76">
        <f t="shared" si="24"/>
        <v>0</v>
      </c>
      <c r="BI76">
        <f t="shared" si="25"/>
        <v>0</v>
      </c>
      <c r="BJ76">
        <f t="shared" si="26"/>
        <v>0</v>
      </c>
      <c r="BK76">
        <f t="shared" si="27"/>
        <v>0</v>
      </c>
      <c r="BL76">
        <f t="shared" si="28"/>
        <v>0</v>
      </c>
      <c r="BM76">
        <f t="shared" si="29"/>
        <v>0</v>
      </c>
      <c r="BN76">
        <f t="shared" si="30"/>
        <v>0</v>
      </c>
      <c r="BO76">
        <f t="shared" si="31"/>
        <v>0</v>
      </c>
      <c r="BP76">
        <f t="shared" si="32"/>
        <v>0</v>
      </c>
      <c r="BQ76">
        <f t="shared" si="33"/>
        <v>365</v>
      </c>
      <c r="BR76">
        <f t="shared" si="34"/>
        <v>334</v>
      </c>
      <c r="BS76">
        <f t="shared" si="35"/>
        <v>304</v>
      </c>
      <c r="BT76">
        <f t="shared" si="36"/>
        <v>273</v>
      </c>
    </row>
    <row r="77" spans="1:72" ht="12.95" customHeight="1" x14ac:dyDescent="0.2">
      <c r="A77">
        <f t="shared" si="40"/>
        <v>2026</v>
      </c>
      <c r="B77">
        <f t="shared" si="65"/>
        <v>11</v>
      </c>
      <c r="C77">
        <f t="shared" si="66"/>
        <v>4</v>
      </c>
      <c r="D77" s="11">
        <f>prod!A74</f>
        <v>46327</v>
      </c>
      <c r="E77" s="11">
        <f t="shared" si="67"/>
        <v>46691</v>
      </c>
      <c r="F77" s="10" t="str">
        <f>prod!B74</f>
        <v>משאיות חובה</v>
      </c>
      <c r="G77" s="10" t="str">
        <f>prod!C74</f>
        <v xml:space="preserve">חובה משאיות </v>
      </c>
      <c r="H77" s="10">
        <f>prod!D74</f>
        <v>8639750</v>
      </c>
      <c r="I77" s="10">
        <f>SUMIFS(info!C:C,info!$A:$A,data!$A77,info!$B:$B,data!$G77)</f>
        <v>0.05</v>
      </c>
      <c r="J77" s="10">
        <f>SUMIFS(info!D:D,info!$A:$A,data!$A77,info!$B:$B,data!$G77)</f>
        <v>0.95</v>
      </c>
      <c r="K77" s="10">
        <f>SUMIFS(info!E:E,info!$A:$A,data!$A77,info!$B:$B,data!$G77)</f>
        <v>0.15</v>
      </c>
      <c r="L77" s="10">
        <f>SUMIFS(info!F:F,info!$A:$A,data!$A77,info!$B:$B,data!$G77)</f>
        <v>0.9</v>
      </c>
      <c r="M77" s="10">
        <f>IF(SUMIFS(info!$C$25:$C$27,info!$A$25:$A$27,data!A77,info!$B$25:$B$27,data!F77)&lt;=0,1,SUMIFS(info!$C$25:$C$27,info!$A$25:$A$27,data!A77,info!$B$25:$B$27,data!F77))*H77</f>
        <v>6859961.5</v>
      </c>
      <c r="N77" s="10">
        <f t="shared" si="68"/>
        <v>8207762.5</v>
      </c>
      <c r="O77" s="10">
        <f t="shared" si="69"/>
        <v>431987.5</v>
      </c>
      <c r="P77" s="10">
        <f t="shared" si="70"/>
        <v>1231164.375</v>
      </c>
      <c r="Q77" s="10">
        <f t="shared" si="71"/>
        <v>7775775</v>
      </c>
      <c r="R77" s="10">
        <f t="shared" si="72"/>
        <v>7386986.25</v>
      </c>
      <c r="S77" s="10">
        <f t="shared" si="73"/>
        <v>0</v>
      </c>
      <c r="T77" s="10">
        <f t="shared" si="73"/>
        <v>0</v>
      </c>
      <c r="U77" s="10">
        <f t="shared" si="73"/>
        <v>0</v>
      </c>
      <c r="V77" s="10">
        <f t="shared" si="73"/>
        <v>0</v>
      </c>
      <c r="W77" s="10">
        <f t="shared" si="73"/>
        <v>0</v>
      </c>
      <c r="X77" s="10">
        <f t="shared" si="73"/>
        <v>0</v>
      </c>
      <c r="Y77" s="10">
        <f t="shared" si="73"/>
        <v>0</v>
      </c>
      <c r="Z77" s="10">
        <f t="shared" si="73"/>
        <v>5713502.180821918</v>
      </c>
      <c r="AA77" s="10"/>
      <c r="AB77" s="10"/>
      <c r="AC77">
        <f t="shared" si="74"/>
        <v>0</v>
      </c>
      <c r="AD77">
        <f t="shared" si="74"/>
        <v>0</v>
      </c>
      <c r="AE77">
        <f t="shared" si="74"/>
        <v>0</v>
      </c>
      <c r="AF77">
        <f t="shared" si="74"/>
        <v>0</v>
      </c>
      <c r="AG77">
        <f t="shared" si="74"/>
        <v>0</v>
      </c>
      <c r="AH77">
        <f t="shared" si="74"/>
        <v>0</v>
      </c>
      <c r="AI77">
        <f t="shared" si="74"/>
        <v>0</v>
      </c>
      <c r="AJ77">
        <f t="shared" si="74"/>
        <v>0</v>
      </c>
      <c r="AK77">
        <f t="shared" si="74"/>
        <v>0</v>
      </c>
      <c r="AL77">
        <f t="shared" si="74"/>
        <v>0</v>
      </c>
      <c r="AM77">
        <f t="shared" si="74"/>
        <v>0</v>
      </c>
      <c r="AN77">
        <f t="shared" si="74"/>
        <v>0</v>
      </c>
      <c r="AO77">
        <f t="shared" si="74"/>
        <v>0</v>
      </c>
      <c r="AP77">
        <f t="shared" si="74"/>
        <v>0</v>
      </c>
      <c r="AQ77">
        <f t="shared" si="74"/>
        <v>0</v>
      </c>
      <c r="AR77">
        <f t="shared" si="56"/>
        <v>0</v>
      </c>
      <c r="AS77">
        <f t="shared" si="56"/>
        <v>0</v>
      </c>
      <c r="AT77">
        <f t="shared" si="56"/>
        <v>0</v>
      </c>
      <c r="AU77">
        <f t="shared" si="56"/>
        <v>0</v>
      </c>
      <c r="AV77">
        <f t="shared" si="56"/>
        <v>365</v>
      </c>
      <c r="AW77">
        <f t="shared" si="56"/>
        <v>335</v>
      </c>
      <c r="AX77">
        <f t="shared" si="56"/>
        <v>304</v>
      </c>
      <c r="AY77">
        <f t="shared" si="57"/>
        <v>0</v>
      </c>
      <c r="AZ77">
        <f t="shared" si="58"/>
        <v>0</v>
      </c>
      <c r="BA77">
        <f t="shared" si="59"/>
        <v>0</v>
      </c>
      <c r="BB77">
        <f t="shared" si="60"/>
        <v>0</v>
      </c>
      <c r="BC77">
        <f t="shared" si="61"/>
        <v>0</v>
      </c>
      <c r="BD77">
        <f t="shared" si="62"/>
        <v>0</v>
      </c>
      <c r="BE77">
        <f t="shared" si="63"/>
        <v>0</v>
      </c>
      <c r="BF77">
        <f t="shared" si="64"/>
        <v>0</v>
      </c>
      <c r="BG77">
        <f t="shared" si="23"/>
        <v>0</v>
      </c>
      <c r="BH77">
        <f t="shared" si="24"/>
        <v>0</v>
      </c>
      <c r="BI77">
        <f t="shared" si="25"/>
        <v>0</v>
      </c>
      <c r="BJ77">
        <f t="shared" si="26"/>
        <v>0</v>
      </c>
      <c r="BK77">
        <f t="shared" si="27"/>
        <v>0</v>
      </c>
      <c r="BL77">
        <f t="shared" si="28"/>
        <v>0</v>
      </c>
      <c r="BM77">
        <f t="shared" si="29"/>
        <v>0</v>
      </c>
      <c r="BN77">
        <f t="shared" si="30"/>
        <v>0</v>
      </c>
      <c r="BO77">
        <f t="shared" si="31"/>
        <v>0</v>
      </c>
      <c r="BP77">
        <f t="shared" si="32"/>
        <v>0</v>
      </c>
      <c r="BQ77">
        <f t="shared" si="33"/>
        <v>0</v>
      </c>
      <c r="BR77">
        <f t="shared" si="34"/>
        <v>365</v>
      </c>
      <c r="BS77">
        <f t="shared" si="35"/>
        <v>335</v>
      </c>
      <c r="BT77">
        <f t="shared" si="36"/>
        <v>304</v>
      </c>
    </row>
    <row r="78" spans="1:72" ht="12.95" customHeight="1" x14ac:dyDescent="0.2">
      <c r="A78">
        <f t="shared" si="40"/>
        <v>2026</v>
      </c>
      <c r="B78">
        <f t="shared" si="65"/>
        <v>12</v>
      </c>
      <c r="C78">
        <f t="shared" si="66"/>
        <v>4</v>
      </c>
      <c r="D78" s="11">
        <f>prod!A75</f>
        <v>46357</v>
      </c>
      <c r="E78" s="11">
        <f t="shared" si="67"/>
        <v>46721</v>
      </c>
      <c r="F78" s="10" t="str">
        <f>prod!B75</f>
        <v>משאיות חובה</v>
      </c>
      <c r="G78" s="10" t="str">
        <f>prod!C75</f>
        <v xml:space="preserve">חובה משאיות </v>
      </c>
      <c r="H78" s="10">
        <f>prod!D75</f>
        <v>18063500</v>
      </c>
      <c r="I78" s="10">
        <f>SUMIFS(info!C:C,info!$A:$A,data!$A78,info!$B:$B,data!$G78)</f>
        <v>0.05</v>
      </c>
      <c r="J78" s="10">
        <f>SUMIFS(info!D:D,info!$A:$A,data!$A78,info!$B:$B,data!$G78)</f>
        <v>0.95</v>
      </c>
      <c r="K78" s="10">
        <f>SUMIFS(info!E:E,info!$A:$A,data!$A78,info!$B:$B,data!$G78)</f>
        <v>0.15</v>
      </c>
      <c r="L78" s="10">
        <f>SUMIFS(info!F:F,info!$A:$A,data!$A78,info!$B:$B,data!$G78)</f>
        <v>0.9</v>
      </c>
      <c r="M78" s="10">
        <f>IF(SUMIFS(info!$C$25:$C$27,info!$A$25:$A$27,data!A78,info!$B$25:$B$27,data!F78)&lt;=0,1,SUMIFS(info!$C$25:$C$27,info!$A$25:$A$27,data!A78,info!$B$25:$B$27,data!F78))*H78</f>
        <v>14342419</v>
      </c>
      <c r="N78" s="10">
        <f t="shared" si="68"/>
        <v>17160325</v>
      </c>
      <c r="O78" s="10">
        <f t="shared" si="69"/>
        <v>903175</v>
      </c>
      <c r="P78" s="10">
        <f t="shared" si="70"/>
        <v>2574048.75</v>
      </c>
      <c r="Q78" s="10">
        <f t="shared" si="71"/>
        <v>16257150</v>
      </c>
      <c r="R78" s="10">
        <f t="shared" si="72"/>
        <v>15444292.5</v>
      </c>
      <c r="S78" s="10">
        <f t="shared" si="73"/>
        <v>0</v>
      </c>
      <c r="T78" s="10">
        <f t="shared" si="73"/>
        <v>0</v>
      </c>
      <c r="U78" s="10">
        <f t="shared" si="73"/>
        <v>0</v>
      </c>
      <c r="V78" s="10">
        <f t="shared" si="73"/>
        <v>0</v>
      </c>
      <c r="W78" s="10">
        <f t="shared" si="73"/>
        <v>0</v>
      </c>
      <c r="X78" s="10">
        <f t="shared" si="73"/>
        <v>0</v>
      </c>
      <c r="Y78" s="10">
        <f t="shared" si="73"/>
        <v>0</v>
      </c>
      <c r="Z78" s="10">
        <f t="shared" si="73"/>
        <v>13124295.742465753</v>
      </c>
      <c r="AA78" s="10"/>
      <c r="AB78" s="10"/>
      <c r="AC78">
        <f t="shared" si="74"/>
        <v>0</v>
      </c>
      <c r="AD78">
        <f t="shared" si="74"/>
        <v>0</v>
      </c>
      <c r="AE78">
        <f t="shared" si="74"/>
        <v>0</v>
      </c>
      <c r="AF78">
        <f t="shared" si="74"/>
        <v>0</v>
      </c>
      <c r="AG78">
        <f t="shared" si="74"/>
        <v>0</v>
      </c>
      <c r="AH78">
        <f t="shared" si="74"/>
        <v>0</v>
      </c>
      <c r="AI78">
        <f t="shared" si="74"/>
        <v>0</v>
      </c>
      <c r="AJ78">
        <f t="shared" si="74"/>
        <v>0</v>
      </c>
      <c r="AK78">
        <f t="shared" si="74"/>
        <v>0</v>
      </c>
      <c r="AL78">
        <f t="shared" si="74"/>
        <v>0</v>
      </c>
      <c r="AM78">
        <f t="shared" si="74"/>
        <v>0</v>
      </c>
      <c r="AN78">
        <f t="shared" si="74"/>
        <v>0</v>
      </c>
      <c r="AO78">
        <f t="shared" si="74"/>
        <v>0</v>
      </c>
      <c r="AP78">
        <f t="shared" si="74"/>
        <v>0</v>
      </c>
      <c r="AQ78">
        <f t="shared" si="74"/>
        <v>0</v>
      </c>
      <c r="AR78">
        <f t="shared" si="56"/>
        <v>0</v>
      </c>
      <c r="AS78">
        <f t="shared" si="56"/>
        <v>0</v>
      </c>
      <c r="AT78">
        <f t="shared" si="56"/>
        <v>0</v>
      </c>
      <c r="AU78">
        <f t="shared" si="56"/>
        <v>0</v>
      </c>
      <c r="AV78">
        <f t="shared" si="56"/>
        <v>0</v>
      </c>
      <c r="AW78">
        <f t="shared" si="56"/>
        <v>365</v>
      </c>
      <c r="AX78">
        <f t="shared" si="56"/>
        <v>334</v>
      </c>
      <c r="AY78">
        <f t="shared" si="57"/>
        <v>0</v>
      </c>
      <c r="AZ78">
        <f t="shared" si="58"/>
        <v>0</v>
      </c>
      <c r="BA78">
        <f t="shared" si="59"/>
        <v>0</v>
      </c>
      <c r="BB78">
        <f t="shared" si="60"/>
        <v>0</v>
      </c>
      <c r="BC78">
        <f t="shared" si="61"/>
        <v>0</v>
      </c>
      <c r="BD78">
        <f t="shared" si="62"/>
        <v>0</v>
      </c>
      <c r="BE78">
        <f t="shared" si="63"/>
        <v>0</v>
      </c>
      <c r="BF78">
        <f t="shared" si="64"/>
        <v>0</v>
      </c>
      <c r="BG78">
        <f t="shared" si="23"/>
        <v>0</v>
      </c>
      <c r="BH78">
        <f t="shared" si="24"/>
        <v>0</v>
      </c>
      <c r="BI78">
        <f t="shared" si="25"/>
        <v>0</v>
      </c>
      <c r="BJ78">
        <f t="shared" si="26"/>
        <v>0</v>
      </c>
      <c r="BK78">
        <f t="shared" si="27"/>
        <v>0</v>
      </c>
      <c r="BL78">
        <f t="shared" si="28"/>
        <v>0</v>
      </c>
      <c r="BM78">
        <f t="shared" si="29"/>
        <v>0</v>
      </c>
      <c r="BN78">
        <f t="shared" si="30"/>
        <v>0</v>
      </c>
      <c r="BO78">
        <f t="shared" si="31"/>
        <v>0</v>
      </c>
      <c r="BP78">
        <f t="shared" si="32"/>
        <v>0</v>
      </c>
      <c r="BQ78">
        <f t="shared" si="33"/>
        <v>0</v>
      </c>
      <c r="BR78">
        <f t="shared" si="34"/>
        <v>0</v>
      </c>
      <c r="BS78">
        <f t="shared" si="35"/>
        <v>365</v>
      </c>
      <c r="BT78">
        <f t="shared" si="36"/>
        <v>334</v>
      </c>
    </row>
    <row r="79" spans="1:72" ht="12.95" customHeight="1" x14ac:dyDescent="0.2">
      <c r="A79">
        <f t="shared" si="40"/>
        <v>2026</v>
      </c>
      <c r="B79">
        <f t="shared" si="65"/>
        <v>1</v>
      </c>
      <c r="C79">
        <f t="shared" si="66"/>
        <v>1</v>
      </c>
      <c r="D79" s="11">
        <f>prod!A76</f>
        <v>46023</v>
      </c>
      <c r="E79" s="11">
        <f t="shared" si="67"/>
        <v>46387</v>
      </c>
      <c r="F79" s="10" t="str">
        <f>prod!B76</f>
        <v>משאיות חובה</v>
      </c>
      <c r="G79" s="10" t="str">
        <f>prod!C76</f>
        <v xml:space="preserve">חובה נגררים </v>
      </c>
      <c r="H79" s="10">
        <f>prod!D76</f>
        <v>529000</v>
      </c>
      <c r="I79" s="10">
        <f>SUMIFS(info!C:C,info!$A:$A,data!$A79,info!$B:$B,data!$G79)</f>
        <v>0.05</v>
      </c>
      <c r="J79" s="10">
        <f>SUMIFS(info!D:D,info!$A:$A,data!$A79,info!$B:$B,data!$G79)</f>
        <v>0.95</v>
      </c>
      <c r="K79" s="10">
        <f>SUMIFS(info!E:E,info!$A:$A,data!$A79,info!$B:$B,data!$G79)</f>
        <v>0.15</v>
      </c>
      <c r="L79" s="10">
        <f>SUMIFS(info!F:F,info!$A:$A,data!$A79,info!$B:$B,data!$G79)</f>
        <v>0.9</v>
      </c>
      <c r="M79" s="10">
        <f>IF(SUMIFS(info!$C$25:$C$27,info!$A$25:$A$27,data!A79,info!$B$25:$B$27,data!F79)&lt;=0,1,SUMIFS(info!$C$25:$C$27,info!$A$25:$A$27,data!A79,info!$B$25:$B$27,data!F79))*H79</f>
        <v>420026</v>
      </c>
      <c r="N79" s="10">
        <f t="shared" si="68"/>
        <v>502550</v>
      </c>
      <c r="O79" s="10">
        <f t="shared" si="69"/>
        <v>26450</v>
      </c>
      <c r="P79" s="10">
        <f t="shared" si="70"/>
        <v>75382.5</v>
      </c>
      <c r="Q79" s="10">
        <f t="shared" si="71"/>
        <v>476100</v>
      </c>
      <c r="R79" s="10">
        <f t="shared" si="72"/>
        <v>452295</v>
      </c>
      <c r="S79" s="10">
        <f t="shared" si="73"/>
        <v>0</v>
      </c>
      <c r="T79" s="10">
        <f t="shared" si="73"/>
        <v>0</v>
      </c>
      <c r="U79" s="10">
        <f t="shared" si="73"/>
        <v>0</v>
      </c>
      <c r="V79" s="10">
        <f t="shared" si="73"/>
        <v>0</v>
      </c>
      <c r="W79" s="10">
        <f t="shared" si="73"/>
        <v>316457.94520547945</v>
      </c>
      <c r="X79" s="10">
        <f t="shared" si="73"/>
        <v>211739.13424657536</v>
      </c>
      <c r="Y79" s="10">
        <f t="shared" si="73"/>
        <v>105869.56712328768</v>
      </c>
      <c r="Z79" s="10">
        <f t="shared" si="73"/>
        <v>0</v>
      </c>
      <c r="AA79" s="10"/>
      <c r="AB79" s="10"/>
      <c r="AC79">
        <f t="shared" si="74"/>
        <v>0</v>
      </c>
      <c r="AD79">
        <f t="shared" si="74"/>
        <v>0</v>
      </c>
      <c r="AE79">
        <f t="shared" si="74"/>
        <v>0</v>
      </c>
      <c r="AF79">
        <f t="shared" si="74"/>
        <v>0</v>
      </c>
      <c r="AG79">
        <f t="shared" si="74"/>
        <v>0</v>
      </c>
      <c r="AH79">
        <f t="shared" si="74"/>
        <v>0</v>
      </c>
      <c r="AI79">
        <f t="shared" si="74"/>
        <v>0</v>
      </c>
      <c r="AJ79">
        <f t="shared" si="74"/>
        <v>0</v>
      </c>
      <c r="AK79">
        <f t="shared" si="74"/>
        <v>0</v>
      </c>
      <c r="AL79">
        <f t="shared" si="74"/>
        <v>365</v>
      </c>
      <c r="AM79">
        <f t="shared" si="74"/>
        <v>334</v>
      </c>
      <c r="AN79">
        <f t="shared" si="74"/>
        <v>306</v>
      </c>
      <c r="AO79">
        <f t="shared" si="74"/>
        <v>275</v>
      </c>
      <c r="AP79">
        <f t="shared" si="74"/>
        <v>245</v>
      </c>
      <c r="AQ79">
        <f t="shared" si="74"/>
        <v>214</v>
      </c>
      <c r="AR79">
        <f t="shared" si="56"/>
        <v>184</v>
      </c>
      <c r="AS79">
        <f t="shared" si="56"/>
        <v>153</v>
      </c>
      <c r="AT79">
        <f t="shared" si="56"/>
        <v>122</v>
      </c>
      <c r="AU79">
        <f t="shared" si="56"/>
        <v>92</v>
      </c>
      <c r="AV79">
        <f t="shared" si="56"/>
        <v>61</v>
      </c>
      <c r="AW79">
        <f t="shared" si="56"/>
        <v>31</v>
      </c>
      <c r="AX79">
        <f t="shared" si="56"/>
        <v>0</v>
      </c>
      <c r="AY79">
        <f t="shared" si="57"/>
        <v>0</v>
      </c>
      <c r="AZ79">
        <f t="shared" si="58"/>
        <v>0</v>
      </c>
      <c r="BA79">
        <f t="shared" si="59"/>
        <v>0</v>
      </c>
      <c r="BB79">
        <f t="shared" si="60"/>
        <v>0</v>
      </c>
      <c r="BC79">
        <f t="shared" si="61"/>
        <v>0</v>
      </c>
      <c r="BD79">
        <f t="shared" si="62"/>
        <v>0</v>
      </c>
      <c r="BE79">
        <f t="shared" si="63"/>
        <v>0</v>
      </c>
      <c r="BF79">
        <f t="shared" si="64"/>
        <v>0</v>
      </c>
      <c r="BG79">
        <f t="shared" si="23"/>
        <v>0</v>
      </c>
      <c r="BH79">
        <f t="shared" si="24"/>
        <v>365</v>
      </c>
      <c r="BI79">
        <f t="shared" si="25"/>
        <v>334</v>
      </c>
      <c r="BJ79">
        <f t="shared" si="26"/>
        <v>306</v>
      </c>
      <c r="BK79">
        <f t="shared" si="27"/>
        <v>275</v>
      </c>
      <c r="BL79">
        <f t="shared" si="28"/>
        <v>245</v>
      </c>
      <c r="BM79">
        <f t="shared" si="29"/>
        <v>214</v>
      </c>
      <c r="BN79">
        <f t="shared" si="30"/>
        <v>184</v>
      </c>
      <c r="BO79">
        <f t="shared" si="31"/>
        <v>153</v>
      </c>
      <c r="BP79">
        <f t="shared" si="32"/>
        <v>122</v>
      </c>
      <c r="BQ79">
        <f t="shared" si="33"/>
        <v>92</v>
      </c>
      <c r="BR79">
        <f t="shared" si="34"/>
        <v>61</v>
      </c>
      <c r="BS79">
        <f t="shared" si="35"/>
        <v>31</v>
      </c>
      <c r="BT79">
        <f t="shared" si="36"/>
        <v>0</v>
      </c>
    </row>
    <row r="80" spans="1:72" ht="12.95" customHeight="1" x14ac:dyDescent="0.2">
      <c r="A80">
        <f t="shared" si="40"/>
        <v>2026</v>
      </c>
      <c r="B80">
        <f t="shared" si="65"/>
        <v>2</v>
      </c>
      <c r="C80">
        <f t="shared" si="66"/>
        <v>1</v>
      </c>
      <c r="D80" s="11">
        <f>prod!A77</f>
        <v>46054</v>
      </c>
      <c r="E80" s="11">
        <f t="shared" si="67"/>
        <v>46418</v>
      </c>
      <c r="F80" s="10" t="str">
        <f>prod!B77</f>
        <v>משאיות חובה</v>
      </c>
      <c r="G80" s="10" t="str">
        <f>prod!C77</f>
        <v xml:space="preserve">חובה נגררים </v>
      </c>
      <c r="H80" s="10">
        <f>prod!D77</f>
        <v>192364</v>
      </c>
      <c r="I80" s="10">
        <f>SUMIFS(info!C:C,info!$A:$A,data!$A80,info!$B:$B,data!$G80)</f>
        <v>0.05</v>
      </c>
      <c r="J80" s="10">
        <f>SUMIFS(info!D:D,info!$A:$A,data!$A80,info!$B:$B,data!$G80)</f>
        <v>0.95</v>
      </c>
      <c r="K80" s="10">
        <f>SUMIFS(info!E:E,info!$A:$A,data!$A80,info!$B:$B,data!$G80)</f>
        <v>0.15</v>
      </c>
      <c r="L80" s="10">
        <f>SUMIFS(info!F:F,info!$A:$A,data!$A80,info!$B:$B,data!$G80)</f>
        <v>0.9</v>
      </c>
      <c r="M80" s="10">
        <f>IF(SUMIFS(info!$C$25:$C$27,info!$A$25:$A$27,data!A80,info!$B$25:$B$27,data!F80)&lt;=0,1,SUMIFS(info!$C$25:$C$27,info!$A$25:$A$27,data!A80,info!$B$25:$B$27,data!F80))*H80</f>
        <v>152737.016</v>
      </c>
      <c r="N80" s="10">
        <f t="shared" si="68"/>
        <v>182745.8</v>
      </c>
      <c r="O80" s="10">
        <f t="shared" si="69"/>
        <v>9618.2000000000007</v>
      </c>
      <c r="P80" s="10">
        <f t="shared" si="70"/>
        <v>27411.87</v>
      </c>
      <c r="Q80" s="10">
        <f t="shared" si="71"/>
        <v>173127.6</v>
      </c>
      <c r="R80" s="10">
        <f t="shared" si="72"/>
        <v>164471.22</v>
      </c>
      <c r="S80" s="10">
        <f t="shared" si="73"/>
        <v>0</v>
      </c>
      <c r="T80" s="10">
        <f t="shared" si="73"/>
        <v>0</v>
      </c>
      <c r="U80" s="10">
        <f t="shared" si="73"/>
        <v>0</v>
      </c>
      <c r="V80" s="10">
        <f t="shared" si="73"/>
        <v>0</v>
      </c>
      <c r="W80" s="10">
        <f t="shared" si="73"/>
        <v>128048.01889315069</v>
      </c>
      <c r="X80" s="10">
        <f t="shared" si="73"/>
        <v>89968.37928767124</v>
      </c>
      <c r="Y80" s="10">
        <f t="shared" si="73"/>
        <v>51470.282104109596</v>
      </c>
      <c r="Z80" s="10">
        <f t="shared" si="73"/>
        <v>12972.184920547947</v>
      </c>
      <c r="AA80" s="10"/>
      <c r="AB80" s="10"/>
      <c r="AC80">
        <f t="shared" si="74"/>
        <v>0</v>
      </c>
      <c r="AD80">
        <f t="shared" si="74"/>
        <v>0</v>
      </c>
      <c r="AE80">
        <f t="shared" si="74"/>
        <v>0</v>
      </c>
      <c r="AF80">
        <f t="shared" si="74"/>
        <v>0</v>
      </c>
      <c r="AG80">
        <f t="shared" si="74"/>
        <v>0</v>
      </c>
      <c r="AH80">
        <f t="shared" si="74"/>
        <v>0</v>
      </c>
      <c r="AI80">
        <f t="shared" si="74"/>
        <v>0</v>
      </c>
      <c r="AJ80">
        <f t="shared" si="74"/>
        <v>0</v>
      </c>
      <c r="AK80">
        <f t="shared" si="74"/>
        <v>0</v>
      </c>
      <c r="AL80">
        <f t="shared" si="74"/>
        <v>0</v>
      </c>
      <c r="AM80">
        <f t="shared" si="74"/>
        <v>365</v>
      </c>
      <c r="AN80">
        <f t="shared" si="74"/>
        <v>337</v>
      </c>
      <c r="AO80">
        <f t="shared" si="74"/>
        <v>306</v>
      </c>
      <c r="AP80">
        <f t="shared" si="74"/>
        <v>276</v>
      </c>
      <c r="AQ80">
        <f t="shared" si="74"/>
        <v>245</v>
      </c>
      <c r="AR80">
        <f t="shared" si="56"/>
        <v>215</v>
      </c>
      <c r="AS80">
        <f t="shared" si="56"/>
        <v>184</v>
      </c>
      <c r="AT80">
        <f t="shared" si="56"/>
        <v>153</v>
      </c>
      <c r="AU80">
        <f t="shared" si="56"/>
        <v>123</v>
      </c>
      <c r="AV80">
        <f t="shared" si="56"/>
        <v>92</v>
      </c>
      <c r="AW80">
        <f t="shared" si="56"/>
        <v>62</v>
      </c>
      <c r="AX80">
        <f t="shared" si="56"/>
        <v>31</v>
      </c>
      <c r="AY80">
        <f t="shared" si="57"/>
        <v>0</v>
      </c>
      <c r="AZ80">
        <f t="shared" si="58"/>
        <v>0</v>
      </c>
      <c r="BA80">
        <f t="shared" si="59"/>
        <v>0</v>
      </c>
      <c r="BB80">
        <f t="shared" si="60"/>
        <v>0</v>
      </c>
      <c r="BC80">
        <f t="shared" si="61"/>
        <v>0</v>
      </c>
      <c r="BD80">
        <f t="shared" si="62"/>
        <v>0</v>
      </c>
      <c r="BE80">
        <f t="shared" si="63"/>
        <v>0</v>
      </c>
      <c r="BF80">
        <f t="shared" si="64"/>
        <v>0</v>
      </c>
      <c r="BG80">
        <f t="shared" si="23"/>
        <v>0</v>
      </c>
      <c r="BH80">
        <f t="shared" si="24"/>
        <v>0</v>
      </c>
      <c r="BI80">
        <f t="shared" si="25"/>
        <v>365</v>
      </c>
      <c r="BJ80">
        <f t="shared" si="26"/>
        <v>337</v>
      </c>
      <c r="BK80">
        <f t="shared" si="27"/>
        <v>306</v>
      </c>
      <c r="BL80">
        <f t="shared" si="28"/>
        <v>276</v>
      </c>
      <c r="BM80">
        <f t="shared" si="29"/>
        <v>245</v>
      </c>
      <c r="BN80">
        <f t="shared" si="30"/>
        <v>215</v>
      </c>
      <c r="BO80">
        <f t="shared" si="31"/>
        <v>184</v>
      </c>
      <c r="BP80">
        <f t="shared" si="32"/>
        <v>153</v>
      </c>
      <c r="BQ80">
        <f t="shared" si="33"/>
        <v>123</v>
      </c>
      <c r="BR80">
        <f t="shared" si="34"/>
        <v>92</v>
      </c>
      <c r="BS80">
        <f t="shared" si="35"/>
        <v>62</v>
      </c>
      <c r="BT80">
        <f t="shared" si="36"/>
        <v>31</v>
      </c>
    </row>
    <row r="81" spans="1:72" ht="12.95" customHeight="1" x14ac:dyDescent="0.2">
      <c r="A81">
        <f t="shared" si="40"/>
        <v>2026</v>
      </c>
      <c r="B81">
        <f t="shared" si="65"/>
        <v>3</v>
      </c>
      <c r="C81">
        <f t="shared" si="66"/>
        <v>1</v>
      </c>
      <c r="D81" s="11">
        <f>prod!A78</f>
        <v>46082</v>
      </c>
      <c r="E81" s="11">
        <f t="shared" si="67"/>
        <v>46446</v>
      </c>
      <c r="F81" s="10" t="str">
        <f>prod!B78</f>
        <v>משאיות חובה</v>
      </c>
      <c r="G81" s="10" t="str">
        <f>prod!C78</f>
        <v xml:space="preserve">חובה נגררים </v>
      </c>
      <c r="H81" s="10">
        <f>prod!D78</f>
        <v>192364</v>
      </c>
      <c r="I81" s="10">
        <f>SUMIFS(info!C:C,info!$A:$A,data!$A81,info!$B:$B,data!$G81)</f>
        <v>0.05</v>
      </c>
      <c r="J81" s="10">
        <f>SUMIFS(info!D:D,info!$A:$A,data!$A81,info!$B:$B,data!$G81)</f>
        <v>0.95</v>
      </c>
      <c r="K81" s="10">
        <f>SUMIFS(info!E:E,info!$A:$A,data!$A81,info!$B:$B,data!$G81)</f>
        <v>0.15</v>
      </c>
      <c r="L81" s="10">
        <f>SUMIFS(info!F:F,info!$A:$A,data!$A81,info!$B:$B,data!$G81)</f>
        <v>0.9</v>
      </c>
      <c r="M81" s="10">
        <f>IF(SUMIFS(info!$C$25:$C$27,info!$A$25:$A$27,data!A81,info!$B$25:$B$27,data!F81)&lt;=0,1,SUMIFS(info!$C$25:$C$27,info!$A$25:$A$27,data!A81,info!$B$25:$B$27,data!F81))*H81</f>
        <v>152737.016</v>
      </c>
      <c r="N81" s="10">
        <f t="shared" si="68"/>
        <v>182745.8</v>
      </c>
      <c r="O81" s="10">
        <f t="shared" si="69"/>
        <v>9618.2000000000007</v>
      </c>
      <c r="P81" s="10">
        <f t="shared" si="70"/>
        <v>27411.87</v>
      </c>
      <c r="Q81" s="10">
        <f t="shared" si="71"/>
        <v>173127.6</v>
      </c>
      <c r="R81" s="10">
        <f t="shared" si="72"/>
        <v>164471.22</v>
      </c>
      <c r="S81" s="10">
        <f t="shared" si="73"/>
        <v>0</v>
      </c>
      <c r="T81" s="10">
        <f t="shared" si="73"/>
        <v>0</v>
      </c>
      <c r="U81" s="10">
        <f t="shared" si="73"/>
        <v>0</v>
      </c>
      <c r="V81" s="10">
        <f t="shared" si="73"/>
        <v>0</v>
      </c>
      <c r="W81" s="10">
        <f t="shared" si="73"/>
        <v>139764.83107945207</v>
      </c>
      <c r="X81" s="10">
        <f t="shared" si="73"/>
        <v>101685.19147397262</v>
      </c>
      <c r="Y81" s="10">
        <f t="shared" si="73"/>
        <v>63187.094290410962</v>
      </c>
      <c r="Z81" s="10">
        <f t="shared" si="73"/>
        <v>24688.997106849314</v>
      </c>
      <c r="AA81" s="10"/>
      <c r="AB81" s="10"/>
      <c r="AC81">
        <f t="shared" si="74"/>
        <v>0</v>
      </c>
      <c r="AD81">
        <f t="shared" si="74"/>
        <v>0</v>
      </c>
      <c r="AE81">
        <f t="shared" si="74"/>
        <v>0</v>
      </c>
      <c r="AF81">
        <f t="shared" si="74"/>
        <v>0</v>
      </c>
      <c r="AG81">
        <f t="shared" si="74"/>
        <v>0</v>
      </c>
      <c r="AH81">
        <f t="shared" si="74"/>
        <v>0</v>
      </c>
      <c r="AI81">
        <f t="shared" si="74"/>
        <v>0</v>
      </c>
      <c r="AJ81">
        <f t="shared" si="74"/>
        <v>0</v>
      </c>
      <c r="AK81">
        <f t="shared" si="74"/>
        <v>0</v>
      </c>
      <c r="AL81">
        <f t="shared" si="74"/>
        <v>0</v>
      </c>
      <c r="AM81">
        <f t="shared" si="74"/>
        <v>0</v>
      </c>
      <c r="AN81">
        <f t="shared" si="74"/>
        <v>365</v>
      </c>
      <c r="AO81">
        <f t="shared" si="74"/>
        <v>334</v>
      </c>
      <c r="AP81">
        <f t="shared" si="74"/>
        <v>304</v>
      </c>
      <c r="AQ81">
        <f t="shared" si="74"/>
        <v>273</v>
      </c>
      <c r="AR81">
        <f t="shared" si="56"/>
        <v>243</v>
      </c>
      <c r="AS81">
        <f t="shared" si="56"/>
        <v>212</v>
      </c>
      <c r="AT81">
        <f t="shared" si="56"/>
        <v>181</v>
      </c>
      <c r="AU81">
        <f t="shared" si="56"/>
        <v>151</v>
      </c>
      <c r="AV81">
        <f t="shared" si="56"/>
        <v>120</v>
      </c>
      <c r="AW81">
        <f t="shared" si="56"/>
        <v>90</v>
      </c>
      <c r="AX81">
        <f t="shared" si="56"/>
        <v>59</v>
      </c>
      <c r="AY81">
        <f t="shared" si="57"/>
        <v>0</v>
      </c>
      <c r="AZ81">
        <f t="shared" si="58"/>
        <v>0</v>
      </c>
      <c r="BA81">
        <f t="shared" si="59"/>
        <v>0</v>
      </c>
      <c r="BB81">
        <f t="shared" si="60"/>
        <v>0</v>
      </c>
      <c r="BC81">
        <f t="shared" si="61"/>
        <v>0</v>
      </c>
      <c r="BD81">
        <f t="shared" si="62"/>
        <v>0</v>
      </c>
      <c r="BE81">
        <f t="shared" si="63"/>
        <v>0</v>
      </c>
      <c r="BF81">
        <f t="shared" si="64"/>
        <v>0</v>
      </c>
      <c r="BG81">
        <f t="shared" ref="BG81:BG130" si="75">IF(AK81&lt;0,0,AK81)</f>
        <v>0</v>
      </c>
      <c r="BH81">
        <f t="shared" ref="BH81:BH130" si="76">IF(AL81&lt;0,0,AL81)</f>
        <v>0</v>
      </c>
      <c r="BI81">
        <f t="shared" ref="BI81:BI130" si="77">IF(AM81&lt;0,0,AM81)</f>
        <v>0</v>
      </c>
      <c r="BJ81">
        <f t="shared" ref="BJ81:BJ130" si="78">IF(AN81&lt;0,0,AN81)</f>
        <v>365</v>
      </c>
      <c r="BK81">
        <f t="shared" ref="BK81:BK130" si="79">IF(AO81&lt;0,0,AO81)</f>
        <v>334</v>
      </c>
      <c r="BL81">
        <f t="shared" ref="BL81:BL130" si="80">IF(AP81&lt;0,0,AP81)</f>
        <v>304</v>
      </c>
      <c r="BM81">
        <f t="shared" ref="BM81:BM130" si="81">IF(AQ81&lt;0,0,AQ81)</f>
        <v>273</v>
      </c>
      <c r="BN81">
        <f t="shared" ref="BN81:BN130" si="82">IF(AR81&lt;0,0,AR81)</f>
        <v>243</v>
      </c>
      <c r="BO81">
        <f t="shared" ref="BO81:BO130" si="83">IF(AS81&lt;0,0,AS81)</f>
        <v>212</v>
      </c>
      <c r="BP81">
        <f t="shared" ref="BP81:BP130" si="84">IF(AT81&lt;0,0,AT81)</f>
        <v>181</v>
      </c>
      <c r="BQ81">
        <f t="shared" ref="BQ81:BQ130" si="85">IF(AU81&lt;0,0,AU81)</f>
        <v>151</v>
      </c>
      <c r="BR81">
        <f t="shared" ref="BR81:BR130" si="86">IF(AV81&lt;0,0,AV81)</f>
        <v>120</v>
      </c>
      <c r="BS81">
        <f t="shared" ref="BS81:BS130" si="87">IF(AW81&lt;0,0,AW81)</f>
        <v>90</v>
      </c>
      <c r="BT81">
        <f t="shared" ref="BT81:BT130" si="88">IF(AX81&lt;0,0,AX81)</f>
        <v>59</v>
      </c>
    </row>
    <row r="82" spans="1:72" ht="12.95" customHeight="1" x14ac:dyDescent="0.2">
      <c r="A82">
        <f t="shared" si="40"/>
        <v>2026</v>
      </c>
      <c r="B82">
        <f t="shared" si="65"/>
        <v>4</v>
      </c>
      <c r="C82">
        <f t="shared" si="66"/>
        <v>2</v>
      </c>
      <c r="D82" s="11">
        <f>prod!A79</f>
        <v>46113</v>
      </c>
      <c r="E82" s="11">
        <f t="shared" si="67"/>
        <v>46477</v>
      </c>
      <c r="F82" s="10" t="str">
        <f>prod!B79</f>
        <v>משאיות חובה</v>
      </c>
      <c r="G82" s="10" t="str">
        <f>prod!C79</f>
        <v xml:space="preserve">חובה נגררים </v>
      </c>
      <c r="H82" s="10">
        <f>prod!D79</f>
        <v>192364</v>
      </c>
      <c r="I82" s="10">
        <f>SUMIFS(info!C:C,info!$A:$A,data!$A82,info!$B:$B,data!$G82)</f>
        <v>0.05</v>
      </c>
      <c r="J82" s="10">
        <f>SUMIFS(info!D:D,info!$A:$A,data!$A82,info!$B:$B,data!$G82)</f>
        <v>0.95</v>
      </c>
      <c r="K82" s="10">
        <f>SUMIFS(info!E:E,info!$A:$A,data!$A82,info!$B:$B,data!$G82)</f>
        <v>0.15</v>
      </c>
      <c r="L82" s="10">
        <f>SUMIFS(info!F:F,info!$A:$A,data!$A82,info!$B:$B,data!$G82)</f>
        <v>0.9</v>
      </c>
      <c r="M82" s="10">
        <f>IF(SUMIFS(info!$C$25:$C$27,info!$A$25:$A$27,data!A82,info!$B$25:$B$27,data!F82)&lt;=0,1,SUMIFS(info!$C$25:$C$27,info!$A$25:$A$27,data!A82,info!$B$25:$B$27,data!F82))*H82</f>
        <v>152737.016</v>
      </c>
      <c r="N82" s="10">
        <f t="shared" si="68"/>
        <v>182745.8</v>
      </c>
      <c r="O82" s="10">
        <f t="shared" si="69"/>
        <v>9618.2000000000007</v>
      </c>
      <c r="P82" s="10">
        <f t="shared" si="70"/>
        <v>27411.87</v>
      </c>
      <c r="Q82" s="10">
        <f t="shared" si="71"/>
        <v>173127.6</v>
      </c>
      <c r="R82" s="10">
        <f t="shared" si="72"/>
        <v>164471.22</v>
      </c>
      <c r="S82" s="10">
        <f t="shared" si="73"/>
        <v>0</v>
      </c>
      <c r="T82" s="10">
        <f t="shared" si="73"/>
        <v>0</v>
      </c>
      <c r="U82" s="10">
        <f t="shared" si="73"/>
        <v>0</v>
      </c>
      <c r="V82" s="10">
        <f t="shared" si="73"/>
        <v>0</v>
      </c>
      <c r="W82" s="10">
        <f t="shared" si="73"/>
        <v>0</v>
      </c>
      <c r="X82" s="10">
        <f t="shared" si="73"/>
        <v>114657.37639452056</v>
      </c>
      <c r="Y82" s="10">
        <f t="shared" si="73"/>
        <v>76159.279210958906</v>
      </c>
      <c r="Z82" s="10">
        <f t="shared" si="73"/>
        <v>37661.182027397255</v>
      </c>
      <c r="AA82" s="10"/>
      <c r="AB82" s="10"/>
      <c r="AC82">
        <f t="shared" si="74"/>
        <v>0</v>
      </c>
      <c r="AD82">
        <f t="shared" si="74"/>
        <v>0</v>
      </c>
      <c r="AE82">
        <f t="shared" si="74"/>
        <v>0</v>
      </c>
      <c r="AF82">
        <f t="shared" si="74"/>
        <v>0</v>
      </c>
      <c r="AG82">
        <f t="shared" si="74"/>
        <v>0</v>
      </c>
      <c r="AH82">
        <f t="shared" si="74"/>
        <v>0</v>
      </c>
      <c r="AI82">
        <f t="shared" si="74"/>
        <v>0</v>
      </c>
      <c r="AJ82">
        <f t="shared" si="74"/>
        <v>0</v>
      </c>
      <c r="AK82">
        <f t="shared" si="74"/>
        <v>0</v>
      </c>
      <c r="AL82">
        <f t="shared" si="74"/>
        <v>0</v>
      </c>
      <c r="AM82">
        <f t="shared" si="74"/>
        <v>0</v>
      </c>
      <c r="AN82">
        <f t="shared" si="74"/>
        <v>0</v>
      </c>
      <c r="AO82">
        <f t="shared" si="74"/>
        <v>365</v>
      </c>
      <c r="AP82">
        <f t="shared" si="74"/>
        <v>335</v>
      </c>
      <c r="AQ82">
        <f t="shared" si="74"/>
        <v>304</v>
      </c>
      <c r="AR82">
        <f t="shared" si="56"/>
        <v>274</v>
      </c>
      <c r="AS82">
        <f t="shared" si="56"/>
        <v>243</v>
      </c>
      <c r="AT82">
        <f t="shared" si="56"/>
        <v>212</v>
      </c>
      <c r="AU82">
        <f t="shared" si="56"/>
        <v>182</v>
      </c>
      <c r="AV82">
        <f t="shared" si="56"/>
        <v>151</v>
      </c>
      <c r="AW82">
        <f t="shared" si="56"/>
        <v>121</v>
      </c>
      <c r="AX82">
        <f t="shared" si="56"/>
        <v>90</v>
      </c>
      <c r="AY82">
        <f t="shared" si="57"/>
        <v>0</v>
      </c>
      <c r="AZ82">
        <f t="shared" si="58"/>
        <v>0</v>
      </c>
      <c r="BA82">
        <f t="shared" si="59"/>
        <v>0</v>
      </c>
      <c r="BB82">
        <f t="shared" si="60"/>
        <v>0</v>
      </c>
      <c r="BC82">
        <f t="shared" si="61"/>
        <v>0</v>
      </c>
      <c r="BD82">
        <f t="shared" si="62"/>
        <v>0</v>
      </c>
      <c r="BE82">
        <f t="shared" si="63"/>
        <v>0</v>
      </c>
      <c r="BF82">
        <f t="shared" si="64"/>
        <v>0</v>
      </c>
      <c r="BG82">
        <f t="shared" si="75"/>
        <v>0</v>
      </c>
      <c r="BH82">
        <f t="shared" si="76"/>
        <v>0</v>
      </c>
      <c r="BI82">
        <f t="shared" si="77"/>
        <v>0</v>
      </c>
      <c r="BJ82">
        <f t="shared" si="78"/>
        <v>0</v>
      </c>
      <c r="BK82">
        <f t="shared" si="79"/>
        <v>365</v>
      </c>
      <c r="BL82">
        <f t="shared" si="80"/>
        <v>335</v>
      </c>
      <c r="BM82">
        <f t="shared" si="81"/>
        <v>304</v>
      </c>
      <c r="BN82">
        <f t="shared" si="82"/>
        <v>274</v>
      </c>
      <c r="BO82">
        <f t="shared" si="83"/>
        <v>243</v>
      </c>
      <c r="BP82">
        <f t="shared" si="84"/>
        <v>212</v>
      </c>
      <c r="BQ82">
        <f t="shared" si="85"/>
        <v>182</v>
      </c>
      <c r="BR82">
        <f t="shared" si="86"/>
        <v>151</v>
      </c>
      <c r="BS82">
        <f t="shared" si="87"/>
        <v>121</v>
      </c>
      <c r="BT82">
        <f t="shared" si="88"/>
        <v>90</v>
      </c>
    </row>
    <row r="83" spans="1:72" ht="12.95" customHeight="1" x14ac:dyDescent="0.2">
      <c r="A83">
        <f t="shared" si="40"/>
        <v>2026</v>
      </c>
      <c r="B83">
        <f t="shared" si="65"/>
        <v>5</v>
      </c>
      <c r="C83">
        <f t="shared" si="66"/>
        <v>2</v>
      </c>
      <c r="D83" s="11">
        <f>prod!A80</f>
        <v>46143</v>
      </c>
      <c r="E83" s="11">
        <f t="shared" si="67"/>
        <v>46507</v>
      </c>
      <c r="F83" s="10" t="str">
        <f>prod!B80</f>
        <v>משאיות חובה</v>
      </c>
      <c r="G83" s="10" t="str">
        <f>prod!C80</f>
        <v xml:space="preserve">חובה נגררים </v>
      </c>
      <c r="H83" s="10">
        <f>prod!D80</f>
        <v>192364</v>
      </c>
      <c r="I83" s="10">
        <f>SUMIFS(info!C:C,info!$A:$A,data!$A83,info!$B:$B,data!$G83)</f>
        <v>0.05</v>
      </c>
      <c r="J83" s="10">
        <f>SUMIFS(info!D:D,info!$A:$A,data!$A83,info!$B:$B,data!$G83)</f>
        <v>0.95</v>
      </c>
      <c r="K83" s="10">
        <f>SUMIFS(info!E:E,info!$A:$A,data!$A83,info!$B:$B,data!$G83)</f>
        <v>0.15</v>
      </c>
      <c r="L83" s="10">
        <f>SUMIFS(info!F:F,info!$A:$A,data!$A83,info!$B:$B,data!$G83)</f>
        <v>0.9</v>
      </c>
      <c r="M83" s="10">
        <f>IF(SUMIFS(info!$C$25:$C$27,info!$A$25:$A$27,data!A83,info!$B$25:$B$27,data!F83)&lt;=0,1,SUMIFS(info!$C$25:$C$27,info!$A$25:$A$27,data!A83,info!$B$25:$B$27,data!F83))*H83</f>
        <v>152737.016</v>
      </c>
      <c r="N83" s="10">
        <f t="shared" si="68"/>
        <v>182745.8</v>
      </c>
      <c r="O83" s="10">
        <f t="shared" si="69"/>
        <v>9618.2000000000007</v>
      </c>
      <c r="P83" s="10">
        <f t="shared" si="70"/>
        <v>27411.87</v>
      </c>
      <c r="Q83" s="10">
        <f t="shared" si="71"/>
        <v>173127.6</v>
      </c>
      <c r="R83" s="10">
        <f t="shared" si="72"/>
        <v>164471.22</v>
      </c>
      <c r="S83" s="10">
        <f t="shared" si="73"/>
        <v>0</v>
      </c>
      <c r="T83" s="10">
        <f t="shared" si="73"/>
        <v>0</v>
      </c>
      <c r="U83" s="10">
        <f t="shared" si="73"/>
        <v>0</v>
      </c>
      <c r="V83" s="10">
        <f t="shared" si="73"/>
        <v>0</v>
      </c>
      <c r="W83" s="10">
        <f t="shared" si="73"/>
        <v>0</v>
      </c>
      <c r="X83" s="10">
        <f t="shared" si="73"/>
        <v>127211.1037369863</v>
      </c>
      <c r="Y83" s="10">
        <f t="shared" si="73"/>
        <v>88713.006553424653</v>
      </c>
      <c r="Z83" s="10">
        <f t="shared" si="73"/>
        <v>50214.909369863017</v>
      </c>
      <c r="AA83" s="10"/>
      <c r="AB83" s="10"/>
      <c r="AC83">
        <f t="shared" si="74"/>
        <v>0</v>
      </c>
      <c r="AD83">
        <f t="shared" si="74"/>
        <v>0</v>
      </c>
      <c r="AE83">
        <f t="shared" si="74"/>
        <v>0</v>
      </c>
      <c r="AF83">
        <f t="shared" si="74"/>
        <v>0</v>
      </c>
      <c r="AG83">
        <f t="shared" si="74"/>
        <v>0</v>
      </c>
      <c r="AH83">
        <f t="shared" si="74"/>
        <v>0</v>
      </c>
      <c r="AI83">
        <f t="shared" si="74"/>
        <v>0</v>
      </c>
      <c r="AJ83">
        <f t="shared" si="74"/>
        <v>0</v>
      </c>
      <c r="AK83">
        <f t="shared" si="74"/>
        <v>0</v>
      </c>
      <c r="AL83">
        <f t="shared" si="74"/>
        <v>0</v>
      </c>
      <c r="AM83">
        <f t="shared" si="74"/>
        <v>0</v>
      </c>
      <c r="AN83">
        <f t="shared" si="74"/>
        <v>0</v>
      </c>
      <c r="AO83">
        <f t="shared" si="74"/>
        <v>0</v>
      </c>
      <c r="AP83">
        <f t="shared" si="74"/>
        <v>365</v>
      </c>
      <c r="AQ83">
        <f t="shared" si="74"/>
        <v>334</v>
      </c>
      <c r="AR83">
        <f t="shared" si="56"/>
        <v>304</v>
      </c>
      <c r="AS83">
        <f t="shared" si="56"/>
        <v>273</v>
      </c>
      <c r="AT83">
        <f t="shared" si="56"/>
        <v>242</v>
      </c>
      <c r="AU83">
        <f t="shared" si="56"/>
        <v>212</v>
      </c>
      <c r="AV83">
        <f t="shared" si="56"/>
        <v>181</v>
      </c>
      <c r="AW83">
        <f t="shared" si="56"/>
        <v>151</v>
      </c>
      <c r="AX83">
        <f t="shared" si="56"/>
        <v>120</v>
      </c>
      <c r="AY83">
        <f t="shared" si="57"/>
        <v>0</v>
      </c>
      <c r="AZ83">
        <f t="shared" si="58"/>
        <v>0</v>
      </c>
      <c r="BA83">
        <f t="shared" si="59"/>
        <v>0</v>
      </c>
      <c r="BB83">
        <f t="shared" si="60"/>
        <v>0</v>
      </c>
      <c r="BC83">
        <f t="shared" si="61"/>
        <v>0</v>
      </c>
      <c r="BD83">
        <f t="shared" si="62"/>
        <v>0</v>
      </c>
      <c r="BE83">
        <f t="shared" si="63"/>
        <v>0</v>
      </c>
      <c r="BF83">
        <f t="shared" si="64"/>
        <v>0</v>
      </c>
      <c r="BG83">
        <f t="shared" si="75"/>
        <v>0</v>
      </c>
      <c r="BH83">
        <f t="shared" si="76"/>
        <v>0</v>
      </c>
      <c r="BI83">
        <f t="shared" si="77"/>
        <v>0</v>
      </c>
      <c r="BJ83">
        <f t="shared" si="78"/>
        <v>0</v>
      </c>
      <c r="BK83">
        <f t="shared" si="79"/>
        <v>0</v>
      </c>
      <c r="BL83">
        <f t="shared" si="80"/>
        <v>365</v>
      </c>
      <c r="BM83">
        <f t="shared" si="81"/>
        <v>334</v>
      </c>
      <c r="BN83">
        <f t="shared" si="82"/>
        <v>304</v>
      </c>
      <c r="BO83">
        <f t="shared" si="83"/>
        <v>273</v>
      </c>
      <c r="BP83">
        <f t="shared" si="84"/>
        <v>242</v>
      </c>
      <c r="BQ83">
        <f t="shared" si="85"/>
        <v>212</v>
      </c>
      <c r="BR83">
        <f t="shared" si="86"/>
        <v>181</v>
      </c>
      <c r="BS83">
        <f t="shared" si="87"/>
        <v>151</v>
      </c>
      <c r="BT83">
        <f t="shared" si="88"/>
        <v>120</v>
      </c>
    </row>
    <row r="84" spans="1:72" ht="12.95" customHeight="1" x14ac:dyDescent="0.2">
      <c r="A84">
        <f t="shared" si="40"/>
        <v>2026</v>
      </c>
      <c r="B84">
        <f t="shared" si="65"/>
        <v>6</v>
      </c>
      <c r="C84">
        <f t="shared" si="66"/>
        <v>2</v>
      </c>
      <c r="D84" s="11">
        <f>prod!A81</f>
        <v>46174</v>
      </c>
      <c r="E84" s="11">
        <f t="shared" si="67"/>
        <v>46538</v>
      </c>
      <c r="F84" s="10" t="str">
        <f>prod!B81</f>
        <v>משאיות חובה</v>
      </c>
      <c r="G84" s="10" t="str">
        <f>prod!C81</f>
        <v xml:space="preserve">חובה נגררים </v>
      </c>
      <c r="H84" s="10">
        <f>prod!D81</f>
        <v>300176</v>
      </c>
      <c r="I84" s="10">
        <f>SUMIFS(info!C:C,info!$A:$A,data!$A84,info!$B:$B,data!$G84)</f>
        <v>0.05</v>
      </c>
      <c r="J84" s="10">
        <f>SUMIFS(info!D:D,info!$A:$A,data!$A84,info!$B:$B,data!$G84)</f>
        <v>0.95</v>
      </c>
      <c r="K84" s="10">
        <f>SUMIFS(info!E:E,info!$A:$A,data!$A84,info!$B:$B,data!$G84)</f>
        <v>0.15</v>
      </c>
      <c r="L84" s="10">
        <f>SUMIFS(info!F:F,info!$A:$A,data!$A84,info!$B:$B,data!$G84)</f>
        <v>0.9</v>
      </c>
      <c r="M84" s="10">
        <f>IF(SUMIFS(info!$C$25:$C$27,info!$A$25:$A$27,data!A84,info!$B$25:$B$27,data!F84)&lt;=0,1,SUMIFS(info!$C$25:$C$27,info!$A$25:$A$27,data!A84,info!$B$25:$B$27,data!F84))*H84</f>
        <v>238339.74400000001</v>
      </c>
      <c r="N84" s="10">
        <f t="shared" si="68"/>
        <v>285167.2</v>
      </c>
      <c r="O84" s="10">
        <f t="shared" si="69"/>
        <v>15008.800000000001</v>
      </c>
      <c r="P84" s="10">
        <f t="shared" si="70"/>
        <v>42775.08</v>
      </c>
      <c r="Q84" s="10">
        <f t="shared" si="71"/>
        <v>270158.40000000002</v>
      </c>
      <c r="R84" s="10">
        <f t="shared" si="72"/>
        <v>256650.48</v>
      </c>
      <c r="S84" s="10">
        <f t="shared" si="73"/>
        <v>0</v>
      </c>
      <c r="T84" s="10">
        <f t="shared" si="73"/>
        <v>0</v>
      </c>
      <c r="U84" s="10">
        <f t="shared" si="73"/>
        <v>0</v>
      </c>
      <c r="V84" s="10">
        <f t="shared" si="73"/>
        <v>0</v>
      </c>
      <c r="W84" s="10">
        <f t="shared" si="73"/>
        <v>0</v>
      </c>
      <c r="X84" s="10">
        <f t="shared" si="73"/>
        <v>218750.17599999998</v>
      </c>
      <c r="Y84" s="10">
        <f t="shared" si="73"/>
        <v>158675.50080000001</v>
      </c>
      <c r="Z84" s="10">
        <f t="shared" si="73"/>
        <v>98600.825600000011</v>
      </c>
      <c r="AA84" s="10"/>
      <c r="AB84" s="10"/>
      <c r="AC84">
        <f t="shared" si="74"/>
        <v>0</v>
      </c>
      <c r="AD84">
        <f t="shared" si="74"/>
        <v>0</v>
      </c>
      <c r="AE84">
        <f t="shared" si="74"/>
        <v>0</v>
      </c>
      <c r="AF84">
        <f t="shared" si="74"/>
        <v>0</v>
      </c>
      <c r="AG84">
        <f t="shared" si="74"/>
        <v>0</v>
      </c>
      <c r="AH84">
        <f t="shared" si="74"/>
        <v>0</v>
      </c>
      <c r="AI84">
        <f t="shared" si="74"/>
        <v>0</v>
      </c>
      <c r="AJ84">
        <f t="shared" si="74"/>
        <v>0</v>
      </c>
      <c r="AK84">
        <f t="shared" si="74"/>
        <v>0</v>
      </c>
      <c r="AL84">
        <f t="shared" si="74"/>
        <v>0</v>
      </c>
      <c r="AM84">
        <f t="shared" si="74"/>
        <v>0</v>
      </c>
      <c r="AN84">
        <f t="shared" si="74"/>
        <v>0</v>
      </c>
      <c r="AO84">
        <f t="shared" si="74"/>
        <v>0</v>
      </c>
      <c r="AP84">
        <f t="shared" si="74"/>
        <v>0</v>
      </c>
      <c r="AQ84">
        <f t="shared" si="74"/>
        <v>365</v>
      </c>
      <c r="AR84">
        <f t="shared" si="56"/>
        <v>335</v>
      </c>
      <c r="AS84">
        <f t="shared" si="56"/>
        <v>304</v>
      </c>
      <c r="AT84">
        <f t="shared" si="56"/>
        <v>273</v>
      </c>
      <c r="AU84">
        <f t="shared" si="56"/>
        <v>243</v>
      </c>
      <c r="AV84">
        <f t="shared" si="56"/>
        <v>212</v>
      </c>
      <c r="AW84">
        <f t="shared" si="56"/>
        <v>182</v>
      </c>
      <c r="AX84">
        <f t="shared" si="56"/>
        <v>151</v>
      </c>
      <c r="AY84">
        <f t="shared" si="57"/>
        <v>0</v>
      </c>
      <c r="AZ84">
        <f t="shared" si="58"/>
        <v>0</v>
      </c>
      <c r="BA84">
        <f t="shared" si="59"/>
        <v>0</v>
      </c>
      <c r="BB84">
        <f t="shared" si="60"/>
        <v>0</v>
      </c>
      <c r="BC84">
        <f t="shared" si="61"/>
        <v>0</v>
      </c>
      <c r="BD84">
        <f t="shared" si="62"/>
        <v>0</v>
      </c>
      <c r="BE84">
        <f t="shared" si="63"/>
        <v>0</v>
      </c>
      <c r="BF84">
        <f t="shared" si="64"/>
        <v>0</v>
      </c>
      <c r="BG84">
        <f t="shared" si="75"/>
        <v>0</v>
      </c>
      <c r="BH84">
        <f t="shared" si="76"/>
        <v>0</v>
      </c>
      <c r="BI84">
        <f t="shared" si="77"/>
        <v>0</v>
      </c>
      <c r="BJ84">
        <f t="shared" si="78"/>
        <v>0</v>
      </c>
      <c r="BK84">
        <f t="shared" si="79"/>
        <v>0</v>
      </c>
      <c r="BL84">
        <f t="shared" si="80"/>
        <v>0</v>
      </c>
      <c r="BM84">
        <f t="shared" si="81"/>
        <v>365</v>
      </c>
      <c r="BN84">
        <f t="shared" si="82"/>
        <v>335</v>
      </c>
      <c r="BO84">
        <f t="shared" si="83"/>
        <v>304</v>
      </c>
      <c r="BP84">
        <f t="shared" si="84"/>
        <v>273</v>
      </c>
      <c r="BQ84">
        <f t="shared" si="85"/>
        <v>243</v>
      </c>
      <c r="BR84">
        <f t="shared" si="86"/>
        <v>212</v>
      </c>
      <c r="BS84">
        <f t="shared" si="87"/>
        <v>182</v>
      </c>
      <c r="BT84">
        <f t="shared" si="88"/>
        <v>151</v>
      </c>
    </row>
    <row r="85" spans="1:72" ht="12.95" customHeight="1" x14ac:dyDescent="0.2">
      <c r="A85">
        <f t="shared" si="40"/>
        <v>2026</v>
      </c>
      <c r="B85">
        <f t="shared" si="65"/>
        <v>7</v>
      </c>
      <c r="C85">
        <f t="shared" si="66"/>
        <v>3</v>
      </c>
      <c r="D85" s="11">
        <f>prod!A82</f>
        <v>46204</v>
      </c>
      <c r="E85" s="11">
        <f t="shared" si="67"/>
        <v>46568</v>
      </c>
      <c r="F85" s="10" t="str">
        <f>prod!B82</f>
        <v>משאיות חובה</v>
      </c>
      <c r="G85" s="10" t="str">
        <f>prod!C82</f>
        <v xml:space="preserve">חובה נגררים </v>
      </c>
      <c r="H85" s="10">
        <f>prod!D82</f>
        <v>199264</v>
      </c>
      <c r="I85" s="10">
        <f>SUMIFS(info!C:C,info!$A:$A,data!$A85,info!$B:$B,data!$G85)</f>
        <v>0.05</v>
      </c>
      <c r="J85" s="10">
        <f>SUMIFS(info!D:D,info!$A:$A,data!$A85,info!$B:$B,data!$G85)</f>
        <v>0.95</v>
      </c>
      <c r="K85" s="10">
        <f>SUMIFS(info!E:E,info!$A:$A,data!$A85,info!$B:$B,data!$G85)</f>
        <v>0.15</v>
      </c>
      <c r="L85" s="10">
        <f>SUMIFS(info!F:F,info!$A:$A,data!$A85,info!$B:$B,data!$G85)</f>
        <v>0.9</v>
      </c>
      <c r="M85" s="10">
        <f>IF(SUMIFS(info!$C$25:$C$27,info!$A$25:$A$27,data!A85,info!$B$25:$B$27,data!F85)&lt;=0,1,SUMIFS(info!$C$25:$C$27,info!$A$25:$A$27,data!A85,info!$B$25:$B$27,data!F85))*H85</f>
        <v>158215.61600000001</v>
      </c>
      <c r="N85" s="10">
        <f t="shared" si="68"/>
        <v>189300.8</v>
      </c>
      <c r="O85" s="10">
        <f t="shared" si="69"/>
        <v>9963.2000000000007</v>
      </c>
      <c r="P85" s="10">
        <f t="shared" si="70"/>
        <v>28395.119999999999</v>
      </c>
      <c r="Q85" s="10">
        <f t="shared" si="71"/>
        <v>179337.60000000001</v>
      </c>
      <c r="R85" s="10">
        <f t="shared" si="72"/>
        <v>170370.72</v>
      </c>
      <c r="S85" s="10">
        <f t="shared" si="73"/>
        <v>0</v>
      </c>
      <c r="T85" s="10">
        <f t="shared" si="73"/>
        <v>0</v>
      </c>
      <c r="U85" s="10">
        <f t="shared" si="73"/>
        <v>0</v>
      </c>
      <c r="V85" s="10">
        <f t="shared" si="73"/>
        <v>0</v>
      </c>
      <c r="W85" s="10">
        <f t="shared" si="73"/>
        <v>0</v>
      </c>
      <c r="X85" s="10">
        <f t="shared" si="73"/>
        <v>0</v>
      </c>
      <c r="Y85" s="10">
        <f t="shared" si="73"/>
        <v>118336.61141917809</v>
      </c>
      <c r="Z85" s="10">
        <f t="shared" si="73"/>
        <v>78457.60683835618</v>
      </c>
      <c r="AA85" s="10"/>
      <c r="AB85" s="10"/>
      <c r="AC85">
        <f t="shared" si="74"/>
        <v>0</v>
      </c>
      <c r="AD85">
        <f t="shared" si="74"/>
        <v>0</v>
      </c>
      <c r="AE85">
        <f t="shared" si="74"/>
        <v>0</v>
      </c>
      <c r="AF85">
        <f t="shared" si="74"/>
        <v>0</v>
      </c>
      <c r="AG85">
        <f t="shared" si="74"/>
        <v>0</v>
      </c>
      <c r="AH85">
        <f t="shared" si="74"/>
        <v>0</v>
      </c>
      <c r="AI85">
        <f t="shared" si="74"/>
        <v>0</v>
      </c>
      <c r="AJ85">
        <f t="shared" si="74"/>
        <v>0</v>
      </c>
      <c r="AK85">
        <f t="shared" si="74"/>
        <v>0</v>
      </c>
      <c r="AL85">
        <f t="shared" si="74"/>
        <v>0</v>
      </c>
      <c r="AM85">
        <f t="shared" si="74"/>
        <v>0</v>
      </c>
      <c r="AN85">
        <f t="shared" si="74"/>
        <v>0</v>
      </c>
      <c r="AO85">
        <f t="shared" si="74"/>
        <v>0</v>
      </c>
      <c r="AP85">
        <f t="shared" si="74"/>
        <v>0</v>
      </c>
      <c r="AQ85">
        <f t="shared" si="74"/>
        <v>0</v>
      </c>
      <c r="AR85">
        <f t="shared" si="74"/>
        <v>365</v>
      </c>
      <c r="AS85">
        <f t="shared" ref="AS85:AX100" si="89">IF(($E85-AS$4)&gt;365,0,($E85-AS$4))</f>
        <v>334</v>
      </c>
      <c r="AT85">
        <f t="shared" si="89"/>
        <v>303</v>
      </c>
      <c r="AU85">
        <f t="shared" si="89"/>
        <v>273</v>
      </c>
      <c r="AV85">
        <f t="shared" si="89"/>
        <v>242</v>
      </c>
      <c r="AW85">
        <f t="shared" si="89"/>
        <v>212</v>
      </c>
      <c r="AX85">
        <f t="shared" si="89"/>
        <v>181</v>
      </c>
      <c r="AY85">
        <f t="shared" si="57"/>
        <v>0</v>
      </c>
      <c r="AZ85">
        <f t="shared" si="58"/>
        <v>0</v>
      </c>
      <c r="BA85">
        <f t="shared" si="59"/>
        <v>0</v>
      </c>
      <c r="BB85">
        <f t="shared" si="60"/>
        <v>0</v>
      </c>
      <c r="BC85">
        <f t="shared" si="61"/>
        <v>0</v>
      </c>
      <c r="BD85">
        <f t="shared" si="62"/>
        <v>0</v>
      </c>
      <c r="BE85">
        <f t="shared" si="63"/>
        <v>0</v>
      </c>
      <c r="BF85">
        <f t="shared" si="64"/>
        <v>0</v>
      </c>
      <c r="BG85">
        <f t="shared" si="75"/>
        <v>0</v>
      </c>
      <c r="BH85">
        <f t="shared" si="76"/>
        <v>0</v>
      </c>
      <c r="BI85">
        <f t="shared" si="77"/>
        <v>0</v>
      </c>
      <c r="BJ85">
        <f t="shared" si="78"/>
        <v>0</v>
      </c>
      <c r="BK85">
        <f t="shared" si="79"/>
        <v>0</v>
      </c>
      <c r="BL85">
        <f t="shared" si="80"/>
        <v>0</v>
      </c>
      <c r="BM85">
        <f t="shared" si="81"/>
        <v>0</v>
      </c>
      <c r="BN85">
        <f t="shared" si="82"/>
        <v>365</v>
      </c>
      <c r="BO85">
        <f t="shared" si="83"/>
        <v>334</v>
      </c>
      <c r="BP85">
        <f t="shared" si="84"/>
        <v>303</v>
      </c>
      <c r="BQ85">
        <f t="shared" si="85"/>
        <v>273</v>
      </c>
      <c r="BR85">
        <f t="shared" si="86"/>
        <v>242</v>
      </c>
      <c r="BS85">
        <f t="shared" si="87"/>
        <v>212</v>
      </c>
      <c r="BT85">
        <f t="shared" si="88"/>
        <v>181</v>
      </c>
    </row>
    <row r="86" spans="1:72" ht="12.95" customHeight="1" x14ac:dyDescent="0.2">
      <c r="A86">
        <f t="shared" si="40"/>
        <v>2026</v>
      </c>
      <c r="B86">
        <f t="shared" si="65"/>
        <v>8</v>
      </c>
      <c r="C86">
        <f t="shared" si="66"/>
        <v>3</v>
      </c>
      <c r="D86" s="11">
        <f>prod!A83</f>
        <v>46235</v>
      </c>
      <c r="E86" s="11">
        <f t="shared" si="67"/>
        <v>46599</v>
      </c>
      <c r="F86" s="10" t="str">
        <f>prod!B83</f>
        <v>משאיות חובה</v>
      </c>
      <c r="G86" s="10" t="str">
        <f>prod!C83</f>
        <v xml:space="preserve">חובה נגררים </v>
      </c>
      <c r="H86" s="10">
        <f>prod!D83</f>
        <v>207026</v>
      </c>
      <c r="I86" s="10">
        <f>SUMIFS(info!C:C,info!$A:$A,data!$A86,info!$B:$B,data!$G86)</f>
        <v>0.05</v>
      </c>
      <c r="J86" s="10">
        <f>SUMIFS(info!D:D,info!$A:$A,data!$A86,info!$B:$B,data!$G86)</f>
        <v>0.95</v>
      </c>
      <c r="K86" s="10">
        <f>SUMIFS(info!E:E,info!$A:$A,data!$A86,info!$B:$B,data!$G86)</f>
        <v>0.15</v>
      </c>
      <c r="L86" s="10">
        <f>SUMIFS(info!F:F,info!$A:$A,data!$A86,info!$B:$B,data!$G86)</f>
        <v>0.9</v>
      </c>
      <c r="M86" s="10">
        <f>IF(SUMIFS(info!$C$25:$C$27,info!$A$25:$A$27,data!A86,info!$B$25:$B$27,data!F86)&lt;=0,1,SUMIFS(info!$C$25:$C$27,info!$A$25:$A$27,data!A86,info!$B$25:$B$27,data!F86))*H86</f>
        <v>164378.644</v>
      </c>
      <c r="N86" s="10">
        <f t="shared" si="68"/>
        <v>196674.69999999998</v>
      </c>
      <c r="O86" s="10">
        <f t="shared" si="69"/>
        <v>10351.300000000001</v>
      </c>
      <c r="P86" s="10">
        <f t="shared" si="70"/>
        <v>29501.204999999994</v>
      </c>
      <c r="Q86" s="10">
        <f t="shared" si="71"/>
        <v>186323.4</v>
      </c>
      <c r="R86" s="10">
        <f t="shared" si="72"/>
        <v>177007.22999999998</v>
      </c>
      <c r="S86" s="10">
        <f t="shared" si="73"/>
        <v>0</v>
      </c>
      <c r="T86" s="10">
        <f t="shared" si="73"/>
        <v>0</v>
      </c>
      <c r="U86" s="10">
        <f t="shared" si="73"/>
        <v>0</v>
      </c>
      <c r="V86" s="10">
        <f t="shared" si="73"/>
        <v>0</v>
      </c>
      <c r="W86" s="10">
        <f t="shared" si="73"/>
        <v>0</v>
      </c>
      <c r="X86" s="10">
        <f t="shared" si="73"/>
        <v>0</v>
      </c>
      <c r="Y86" s="10">
        <f t="shared" si="73"/>
        <v>136907.14459178082</v>
      </c>
      <c r="Z86" s="10">
        <f t="shared" si="73"/>
        <v>95474.719254794516</v>
      </c>
      <c r="AA86" s="10"/>
      <c r="AB86" s="10"/>
      <c r="AC86">
        <f t="shared" ref="AC86:AR101" si="90">IF(($E86-AC$4)&gt;365,0,($E86-AC$4))</f>
        <v>0</v>
      </c>
      <c r="AD86">
        <f t="shared" si="90"/>
        <v>0</v>
      </c>
      <c r="AE86">
        <f t="shared" si="90"/>
        <v>0</v>
      </c>
      <c r="AF86">
        <f t="shared" si="90"/>
        <v>0</v>
      </c>
      <c r="AG86">
        <f t="shared" si="90"/>
        <v>0</v>
      </c>
      <c r="AH86">
        <f t="shared" si="90"/>
        <v>0</v>
      </c>
      <c r="AI86">
        <f t="shared" si="90"/>
        <v>0</v>
      </c>
      <c r="AJ86">
        <f t="shared" si="90"/>
        <v>0</v>
      </c>
      <c r="AK86">
        <f t="shared" si="90"/>
        <v>0</v>
      </c>
      <c r="AL86">
        <f t="shared" si="90"/>
        <v>0</v>
      </c>
      <c r="AM86">
        <f t="shared" si="90"/>
        <v>0</v>
      </c>
      <c r="AN86">
        <f t="shared" si="90"/>
        <v>0</v>
      </c>
      <c r="AO86">
        <f t="shared" si="90"/>
        <v>0</v>
      </c>
      <c r="AP86">
        <f t="shared" si="90"/>
        <v>0</v>
      </c>
      <c r="AQ86">
        <f t="shared" si="90"/>
        <v>0</v>
      </c>
      <c r="AR86">
        <f t="shared" si="90"/>
        <v>0</v>
      </c>
      <c r="AS86">
        <f t="shared" si="89"/>
        <v>365</v>
      </c>
      <c r="AT86">
        <f t="shared" si="89"/>
        <v>334</v>
      </c>
      <c r="AU86">
        <f t="shared" si="89"/>
        <v>304</v>
      </c>
      <c r="AV86">
        <f t="shared" si="89"/>
        <v>273</v>
      </c>
      <c r="AW86">
        <f t="shared" si="89"/>
        <v>243</v>
      </c>
      <c r="AX86">
        <f t="shared" si="89"/>
        <v>212</v>
      </c>
      <c r="AY86">
        <f t="shared" si="57"/>
        <v>0</v>
      </c>
      <c r="AZ86">
        <f t="shared" si="58"/>
        <v>0</v>
      </c>
      <c r="BA86">
        <f t="shared" si="59"/>
        <v>0</v>
      </c>
      <c r="BB86">
        <f t="shared" si="60"/>
        <v>0</v>
      </c>
      <c r="BC86">
        <f t="shared" si="61"/>
        <v>0</v>
      </c>
      <c r="BD86">
        <f t="shared" si="62"/>
        <v>0</v>
      </c>
      <c r="BE86">
        <f t="shared" si="63"/>
        <v>0</v>
      </c>
      <c r="BF86">
        <f t="shared" si="64"/>
        <v>0</v>
      </c>
      <c r="BG86">
        <f t="shared" si="75"/>
        <v>0</v>
      </c>
      <c r="BH86">
        <f t="shared" si="76"/>
        <v>0</v>
      </c>
      <c r="BI86">
        <f t="shared" si="77"/>
        <v>0</v>
      </c>
      <c r="BJ86">
        <f t="shared" si="78"/>
        <v>0</v>
      </c>
      <c r="BK86">
        <f t="shared" si="79"/>
        <v>0</v>
      </c>
      <c r="BL86">
        <f t="shared" si="80"/>
        <v>0</v>
      </c>
      <c r="BM86">
        <f t="shared" si="81"/>
        <v>0</v>
      </c>
      <c r="BN86">
        <f t="shared" si="82"/>
        <v>0</v>
      </c>
      <c r="BO86">
        <f t="shared" si="83"/>
        <v>365</v>
      </c>
      <c r="BP86">
        <f t="shared" si="84"/>
        <v>334</v>
      </c>
      <c r="BQ86">
        <f t="shared" si="85"/>
        <v>304</v>
      </c>
      <c r="BR86">
        <f t="shared" si="86"/>
        <v>273</v>
      </c>
      <c r="BS86">
        <f t="shared" si="87"/>
        <v>243</v>
      </c>
      <c r="BT86">
        <f t="shared" si="88"/>
        <v>212</v>
      </c>
    </row>
    <row r="87" spans="1:72" ht="12.95" customHeight="1" x14ac:dyDescent="0.2">
      <c r="A87">
        <f t="shared" si="40"/>
        <v>2026</v>
      </c>
      <c r="B87">
        <f t="shared" si="65"/>
        <v>9</v>
      </c>
      <c r="C87">
        <f t="shared" si="66"/>
        <v>3</v>
      </c>
      <c r="D87" s="11">
        <f>prod!A84</f>
        <v>46266</v>
      </c>
      <c r="E87" s="11">
        <f t="shared" si="67"/>
        <v>46630</v>
      </c>
      <c r="F87" s="10" t="str">
        <f>prod!B84</f>
        <v>משאיות חובה</v>
      </c>
      <c r="G87" s="10" t="str">
        <f>prod!C84</f>
        <v xml:space="preserve">חובה נגררים </v>
      </c>
      <c r="H87" s="10">
        <f>prod!D84</f>
        <v>235489</v>
      </c>
      <c r="I87" s="10">
        <f>SUMIFS(info!C:C,info!$A:$A,data!$A87,info!$B:$B,data!$G87)</f>
        <v>0.05</v>
      </c>
      <c r="J87" s="10">
        <f>SUMIFS(info!D:D,info!$A:$A,data!$A87,info!$B:$B,data!$G87)</f>
        <v>0.95</v>
      </c>
      <c r="K87" s="10">
        <f>SUMIFS(info!E:E,info!$A:$A,data!$A87,info!$B:$B,data!$G87)</f>
        <v>0.15</v>
      </c>
      <c r="L87" s="10">
        <f>SUMIFS(info!F:F,info!$A:$A,data!$A87,info!$B:$B,data!$G87)</f>
        <v>0.9</v>
      </c>
      <c r="M87" s="10">
        <f>IF(SUMIFS(info!$C$25:$C$27,info!$A$25:$A$27,data!A87,info!$B$25:$B$27,data!F87)&lt;=0,1,SUMIFS(info!$C$25:$C$27,info!$A$25:$A$27,data!A87,info!$B$25:$B$27,data!F87))*H87</f>
        <v>186978.266</v>
      </c>
      <c r="N87" s="10">
        <f t="shared" si="68"/>
        <v>223714.55</v>
      </c>
      <c r="O87" s="10">
        <f t="shared" si="69"/>
        <v>11774.45</v>
      </c>
      <c r="P87" s="10">
        <f t="shared" si="70"/>
        <v>33557.182499999995</v>
      </c>
      <c r="Q87" s="10">
        <f t="shared" si="71"/>
        <v>211940.1</v>
      </c>
      <c r="R87" s="10">
        <f t="shared" si="72"/>
        <v>201343.095</v>
      </c>
      <c r="S87" s="10">
        <f t="shared" si="73"/>
        <v>0</v>
      </c>
      <c r="T87" s="10">
        <f t="shared" si="73"/>
        <v>0</v>
      </c>
      <c r="U87" s="10">
        <f t="shared" si="73"/>
        <v>0</v>
      </c>
      <c r="V87" s="10">
        <f t="shared" si="73"/>
        <v>0</v>
      </c>
      <c r="W87" s="10">
        <f t="shared" si="73"/>
        <v>0</v>
      </c>
      <c r="X87" s="10">
        <f t="shared" si="73"/>
        <v>0</v>
      </c>
      <c r="Y87" s="10">
        <f t="shared" si="73"/>
        <v>171610.18934246575</v>
      </c>
      <c r="Z87" s="10">
        <f t="shared" si="73"/>
        <v>124481.42092602741</v>
      </c>
      <c r="AA87" s="10"/>
      <c r="AB87" s="10"/>
      <c r="AC87">
        <f t="shared" si="90"/>
        <v>0</v>
      </c>
      <c r="AD87">
        <f t="shared" si="90"/>
        <v>0</v>
      </c>
      <c r="AE87">
        <f t="shared" si="90"/>
        <v>0</v>
      </c>
      <c r="AF87">
        <f t="shared" si="90"/>
        <v>0</v>
      </c>
      <c r="AG87">
        <f t="shared" si="90"/>
        <v>0</v>
      </c>
      <c r="AH87">
        <f t="shared" si="90"/>
        <v>0</v>
      </c>
      <c r="AI87">
        <f t="shared" si="90"/>
        <v>0</v>
      </c>
      <c r="AJ87">
        <f t="shared" si="90"/>
        <v>0</v>
      </c>
      <c r="AK87">
        <f t="shared" si="90"/>
        <v>0</v>
      </c>
      <c r="AL87">
        <f t="shared" si="90"/>
        <v>0</v>
      </c>
      <c r="AM87">
        <f t="shared" si="90"/>
        <v>0</v>
      </c>
      <c r="AN87">
        <f t="shared" si="90"/>
        <v>0</v>
      </c>
      <c r="AO87">
        <f t="shared" si="90"/>
        <v>0</v>
      </c>
      <c r="AP87">
        <f t="shared" si="90"/>
        <v>0</v>
      </c>
      <c r="AQ87">
        <f t="shared" si="90"/>
        <v>0</v>
      </c>
      <c r="AR87">
        <f t="shared" si="90"/>
        <v>0</v>
      </c>
      <c r="AS87">
        <f t="shared" si="89"/>
        <v>0</v>
      </c>
      <c r="AT87">
        <f t="shared" si="89"/>
        <v>365</v>
      </c>
      <c r="AU87">
        <f t="shared" si="89"/>
        <v>335</v>
      </c>
      <c r="AV87">
        <f t="shared" si="89"/>
        <v>304</v>
      </c>
      <c r="AW87">
        <f t="shared" si="89"/>
        <v>274</v>
      </c>
      <c r="AX87">
        <f t="shared" si="89"/>
        <v>243</v>
      </c>
      <c r="AY87">
        <f t="shared" si="57"/>
        <v>0</v>
      </c>
      <c r="AZ87">
        <f t="shared" si="58"/>
        <v>0</v>
      </c>
      <c r="BA87">
        <f t="shared" si="59"/>
        <v>0</v>
      </c>
      <c r="BB87">
        <f t="shared" si="60"/>
        <v>0</v>
      </c>
      <c r="BC87">
        <f t="shared" si="61"/>
        <v>0</v>
      </c>
      <c r="BD87">
        <f t="shared" si="62"/>
        <v>0</v>
      </c>
      <c r="BE87">
        <f t="shared" si="63"/>
        <v>0</v>
      </c>
      <c r="BF87">
        <f t="shared" si="64"/>
        <v>0</v>
      </c>
      <c r="BG87">
        <f t="shared" si="75"/>
        <v>0</v>
      </c>
      <c r="BH87">
        <f t="shared" si="76"/>
        <v>0</v>
      </c>
      <c r="BI87">
        <f t="shared" si="77"/>
        <v>0</v>
      </c>
      <c r="BJ87">
        <f t="shared" si="78"/>
        <v>0</v>
      </c>
      <c r="BK87">
        <f t="shared" si="79"/>
        <v>0</v>
      </c>
      <c r="BL87">
        <f t="shared" si="80"/>
        <v>0</v>
      </c>
      <c r="BM87">
        <f t="shared" si="81"/>
        <v>0</v>
      </c>
      <c r="BN87">
        <f t="shared" si="82"/>
        <v>0</v>
      </c>
      <c r="BO87">
        <f t="shared" si="83"/>
        <v>0</v>
      </c>
      <c r="BP87">
        <f t="shared" si="84"/>
        <v>365</v>
      </c>
      <c r="BQ87">
        <f t="shared" si="85"/>
        <v>335</v>
      </c>
      <c r="BR87">
        <f t="shared" si="86"/>
        <v>304</v>
      </c>
      <c r="BS87">
        <f t="shared" si="87"/>
        <v>274</v>
      </c>
      <c r="BT87">
        <f t="shared" si="88"/>
        <v>243</v>
      </c>
    </row>
    <row r="88" spans="1:72" ht="12.95" customHeight="1" x14ac:dyDescent="0.2">
      <c r="A88">
        <f t="shared" si="40"/>
        <v>2026</v>
      </c>
      <c r="B88">
        <f t="shared" si="65"/>
        <v>10</v>
      </c>
      <c r="C88">
        <f t="shared" si="66"/>
        <v>4</v>
      </c>
      <c r="D88" s="11">
        <f>prod!A85</f>
        <v>46296</v>
      </c>
      <c r="E88" s="11">
        <f t="shared" si="67"/>
        <v>46660</v>
      </c>
      <c r="F88" s="10" t="str">
        <f>prod!B85</f>
        <v>משאיות חובה</v>
      </c>
      <c r="G88" s="10" t="str">
        <f>prod!C85</f>
        <v xml:space="preserve">חובה נגררים </v>
      </c>
      <c r="H88" s="10">
        <f>prod!D85</f>
        <v>262226</v>
      </c>
      <c r="I88" s="10">
        <f>SUMIFS(info!C:C,info!$A:$A,data!$A88,info!$B:$B,data!$G88)</f>
        <v>0.05</v>
      </c>
      <c r="J88" s="10">
        <f>SUMIFS(info!D:D,info!$A:$A,data!$A88,info!$B:$B,data!$G88)</f>
        <v>0.95</v>
      </c>
      <c r="K88" s="10">
        <f>SUMIFS(info!E:E,info!$A:$A,data!$A88,info!$B:$B,data!$G88)</f>
        <v>0.15</v>
      </c>
      <c r="L88" s="10">
        <f>SUMIFS(info!F:F,info!$A:$A,data!$A88,info!$B:$B,data!$G88)</f>
        <v>0.9</v>
      </c>
      <c r="M88" s="10">
        <f>IF(SUMIFS(info!$C$25:$C$27,info!$A$25:$A$27,data!A88,info!$B$25:$B$27,data!F88)&lt;=0,1,SUMIFS(info!$C$25:$C$27,info!$A$25:$A$27,data!A88,info!$B$25:$B$27,data!F88))*H88</f>
        <v>208207.44400000002</v>
      </c>
      <c r="N88" s="10">
        <f t="shared" si="68"/>
        <v>249114.69999999998</v>
      </c>
      <c r="O88" s="10">
        <f t="shared" si="69"/>
        <v>13111.300000000001</v>
      </c>
      <c r="P88" s="10">
        <f t="shared" si="70"/>
        <v>37367.204999999994</v>
      </c>
      <c r="Q88" s="10">
        <f t="shared" si="71"/>
        <v>236003.4</v>
      </c>
      <c r="R88" s="10">
        <f t="shared" si="72"/>
        <v>224203.22999999998</v>
      </c>
      <c r="S88" s="10">
        <f t="shared" si="73"/>
        <v>0</v>
      </c>
      <c r="T88" s="10">
        <f t="shared" si="73"/>
        <v>0</v>
      </c>
      <c r="U88" s="10">
        <f t="shared" si="73"/>
        <v>0</v>
      </c>
      <c r="V88" s="10">
        <f t="shared" si="73"/>
        <v>0</v>
      </c>
      <c r="W88" s="10">
        <f t="shared" si="73"/>
        <v>0</v>
      </c>
      <c r="X88" s="10">
        <f t="shared" si="73"/>
        <v>0</v>
      </c>
      <c r="Y88" s="10">
        <f t="shared" si="73"/>
        <v>0</v>
      </c>
      <c r="Z88" s="10">
        <f t="shared" si="73"/>
        <v>155727.75948493151</v>
      </c>
      <c r="AA88" s="10"/>
      <c r="AB88" s="10"/>
      <c r="AC88">
        <f t="shared" si="90"/>
        <v>0</v>
      </c>
      <c r="AD88">
        <f t="shared" si="90"/>
        <v>0</v>
      </c>
      <c r="AE88">
        <f t="shared" si="90"/>
        <v>0</v>
      </c>
      <c r="AF88">
        <f t="shared" si="90"/>
        <v>0</v>
      </c>
      <c r="AG88">
        <f t="shared" si="90"/>
        <v>0</v>
      </c>
      <c r="AH88">
        <f t="shared" si="90"/>
        <v>0</v>
      </c>
      <c r="AI88">
        <f t="shared" si="90"/>
        <v>0</v>
      </c>
      <c r="AJ88">
        <f t="shared" si="90"/>
        <v>0</v>
      </c>
      <c r="AK88">
        <f t="shared" si="90"/>
        <v>0</v>
      </c>
      <c r="AL88">
        <f t="shared" si="90"/>
        <v>0</v>
      </c>
      <c r="AM88">
        <f t="shared" si="90"/>
        <v>0</v>
      </c>
      <c r="AN88">
        <f t="shared" si="90"/>
        <v>0</v>
      </c>
      <c r="AO88">
        <f t="shared" si="90"/>
        <v>0</v>
      </c>
      <c r="AP88">
        <f t="shared" si="90"/>
        <v>0</v>
      </c>
      <c r="AQ88">
        <f t="shared" si="90"/>
        <v>0</v>
      </c>
      <c r="AR88">
        <f t="shared" si="90"/>
        <v>0</v>
      </c>
      <c r="AS88">
        <f t="shared" si="89"/>
        <v>0</v>
      </c>
      <c r="AT88">
        <f t="shared" si="89"/>
        <v>0</v>
      </c>
      <c r="AU88">
        <f t="shared" si="89"/>
        <v>365</v>
      </c>
      <c r="AV88">
        <f t="shared" si="89"/>
        <v>334</v>
      </c>
      <c r="AW88">
        <f t="shared" si="89"/>
        <v>304</v>
      </c>
      <c r="AX88">
        <f t="shared" si="89"/>
        <v>273</v>
      </c>
      <c r="AY88">
        <f t="shared" si="57"/>
        <v>0</v>
      </c>
      <c r="AZ88">
        <f t="shared" si="58"/>
        <v>0</v>
      </c>
      <c r="BA88">
        <f t="shared" si="59"/>
        <v>0</v>
      </c>
      <c r="BB88">
        <f t="shared" si="60"/>
        <v>0</v>
      </c>
      <c r="BC88">
        <f t="shared" si="61"/>
        <v>0</v>
      </c>
      <c r="BD88">
        <f t="shared" si="62"/>
        <v>0</v>
      </c>
      <c r="BE88">
        <f t="shared" si="63"/>
        <v>0</v>
      </c>
      <c r="BF88">
        <f t="shared" si="64"/>
        <v>0</v>
      </c>
      <c r="BG88">
        <f t="shared" si="75"/>
        <v>0</v>
      </c>
      <c r="BH88">
        <f t="shared" si="76"/>
        <v>0</v>
      </c>
      <c r="BI88">
        <f t="shared" si="77"/>
        <v>0</v>
      </c>
      <c r="BJ88">
        <f t="shared" si="78"/>
        <v>0</v>
      </c>
      <c r="BK88">
        <f t="shared" si="79"/>
        <v>0</v>
      </c>
      <c r="BL88">
        <f t="shared" si="80"/>
        <v>0</v>
      </c>
      <c r="BM88">
        <f t="shared" si="81"/>
        <v>0</v>
      </c>
      <c r="BN88">
        <f t="shared" si="82"/>
        <v>0</v>
      </c>
      <c r="BO88">
        <f t="shared" si="83"/>
        <v>0</v>
      </c>
      <c r="BP88">
        <f t="shared" si="84"/>
        <v>0</v>
      </c>
      <c r="BQ88">
        <f t="shared" si="85"/>
        <v>365</v>
      </c>
      <c r="BR88">
        <f t="shared" si="86"/>
        <v>334</v>
      </c>
      <c r="BS88">
        <f t="shared" si="87"/>
        <v>304</v>
      </c>
      <c r="BT88">
        <f t="shared" si="88"/>
        <v>273</v>
      </c>
    </row>
    <row r="89" spans="1:72" ht="12.95" customHeight="1" x14ac:dyDescent="0.2">
      <c r="A89">
        <f t="shared" si="40"/>
        <v>2026</v>
      </c>
      <c r="B89">
        <f t="shared" si="65"/>
        <v>11</v>
      </c>
      <c r="C89">
        <f t="shared" si="66"/>
        <v>4</v>
      </c>
      <c r="D89" s="11">
        <f>prod!A86</f>
        <v>46327</v>
      </c>
      <c r="E89" s="11">
        <f t="shared" si="67"/>
        <v>46691</v>
      </c>
      <c r="F89" s="10" t="str">
        <f>prod!B86</f>
        <v>משאיות חובה</v>
      </c>
      <c r="G89" s="10" t="str">
        <f>prod!C86</f>
        <v xml:space="preserve">חובה נגררים </v>
      </c>
      <c r="H89" s="10">
        <f>prod!D86</f>
        <v>258776</v>
      </c>
      <c r="I89" s="10">
        <f>SUMIFS(info!C:C,info!$A:$A,data!$A89,info!$B:$B,data!$G89)</f>
        <v>0.05</v>
      </c>
      <c r="J89" s="10">
        <f>SUMIFS(info!D:D,info!$A:$A,data!$A89,info!$B:$B,data!$G89)</f>
        <v>0.95</v>
      </c>
      <c r="K89" s="10">
        <f>SUMIFS(info!E:E,info!$A:$A,data!$A89,info!$B:$B,data!$G89)</f>
        <v>0.15</v>
      </c>
      <c r="L89" s="10">
        <f>SUMIFS(info!F:F,info!$A:$A,data!$A89,info!$B:$B,data!$G89)</f>
        <v>0.9</v>
      </c>
      <c r="M89" s="10">
        <f>IF(SUMIFS(info!$C$25:$C$27,info!$A$25:$A$27,data!A89,info!$B$25:$B$27,data!F89)&lt;=0,1,SUMIFS(info!$C$25:$C$27,info!$A$25:$A$27,data!A89,info!$B$25:$B$27,data!F89))*H89</f>
        <v>205468.144</v>
      </c>
      <c r="N89" s="10">
        <f t="shared" si="68"/>
        <v>245837.19999999998</v>
      </c>
      <c r="O89" s="10">
        <f t="shared" si="69"/>
        <v>12938.800000000001</v>
      </c>
      <c r="P89" s="10">
        <f t="shared" si="70"/>
        <v>36875.579999999994</v>
      </c>
      <c r="Q89" s="10">
        <f t="shared" si="71"/>
        <v>232898.4</v>
      </c>
      <c r="R89" s="10">
        <f t="shared" si="72"/>
        <v>221253.47999999998</v>
      </c>
      <c r="S89" s="10">
        <f t="shared" si="73"/>
        <v>0</v>
      </c>
      <c r="T89" s="10">
        <f t="shared" si="73"/>
        <v>0</v>
      </c>
      <c r="U89" s="10">
        <f t="shared" si="73"/>
        <v>0</v>
      </c>
      <c r="V89" s="10">
        <f t="shared" si="73"/>
        <v>0</v>
      </c>
      <c r="W89" s="10">
        <f t="shared" si="73"/>
        <v>0</v>
      </c>
      <c r="X89" s="10">
        <f t="shared" si="73"/>
        <v>0</v>
      </c>
      <c r="Y89" s="10">
        <f t="shared" si="73"/>
        <v>0</v>
      </c>
      <c r="Z89" s="10">
        <f t="shared" si="73"/>
        <v>171129.63226301369</v>
      </c>
      <c r="AA89" s="10"/>
      <c r="AB89" s="10"/>
      <c r="AC89">
        <f t="shared" si="90"/>
        <v>0</v>
      </c>
      <c r="AD89">
        <f t="shared" si="90"/>
        <v>0</v>
      </c>
      <c r="AE89">
        <f t="shared" si="90"/>
        <v>0</v>
      </c>
      <c r="AF89">
        <f t="shared" si="90"/>
        <v>0</v>
      </c>
      <c r="AG89">
        <f t="shared" si="90"/>
        <v>0</v>
      </c>
      <c r="AH89">
        <f t="shared" si="90"/>
        <v>0</v>
      </c>
      <c r="AI89">
        <f t="shared" si="90"/>
        <v>0</v>
      </c>
      <c r="AJ89">
        <f t="shared" si="90"/>
        <v>0</v>
      </c>
      <c r="AK89">
        <f t="shared" si="90"/>
        <v>0</v>
      </c>
      <c r="AL89">
        <f t="shared" si="90"/>
        <v>0</v>
      </c>
      <c r="AM89">
        <f t="shared" si="90"/>
        <v>0</v>
      </c>
      <c r="AN89">
        <f t="shared" si="90"/>
        <v>0</v>
      </c>
      <c r="AO89">
        <f t="shared" si="90"/>
        <v>0</v>
      </c>
      <c r="AP89">
        <f t="shared" si="90"/>
        <v>0</v>
      </c>
      <c r="AQ89">
        <f t="shared" si="90"/>
        <v>0</v>
      </c>
      <c r="AR89">
        <f t="shared" si="90"/>
        <v>0</v>
      </c>
      <c r="AS89">
        <f t="shared" si="89"/>
        <v>0</v>
      </c>
      <c r="AT89">
        <f t="shared" si="89"/>
        <v>0</v>
      </c>
      <c r="AU89">
        <f t="shared" si="89"/>
        <v>0</v>
      </c>
      <c r="AV89">
        <f t="shared" si="89"/>
        <v>365</v>
      </c>
      <c r="AW89">
        <f t="shared" si="89"/>
        <v>335</v>
      </c>
      <c r="AX89">
        <f t="shared" si="89"/>
        <v>304</v>
      </c>
      <c r="AY89">
        <f t="shared" si="57"/>
        <v>0</v>
      </c>
      <c r="AZ89">
        <f t="shared" si="58"/>
        <v>0</v>
      </c>
      <c r="BA89">
        <f t="shared" si="59"/>
        <v>0</v>
      </c>
      <c r="BB89">
        <f t="shared" si="60"/>
        <v>0</v>
      </c>
      <c r="BC89">
        <f t="shared" si="61"/>
        <v>0</v>
      </c>
      <c r="BD89">
        <f t="shared" si="62"/>
        <v>0</v>
      </c>
      <c r="BE89">
        <f t="shared" si="63"/>
        <v>0</v>
      </c>
      <c r="BF89">
        <f t="shared" si="64"/>
        <v>0</v>
      </c>
      <c r="BG89">
        <f t="shared" si="75"/>
        <v>0</v>
      </c>
      <c r="BH89">
        <f t="shared" si="76"/>
        <v>0</v>
      </c>
      <c r="BI89">
        <f t="shared" si="77"/>
        <v>0</v>
      </c>
      <c r="BJ89">
        <f t="shared" si="78"/>
        <v>0</v>
      </c>
      <c r="BK89">
        <f t="shared" si="79"/>
        <v>0</v>
      </c>
      <c r="BL89">
        <f t="shared" si="80"/>
        <v>0</v>
      </c>
      <c r="BM89">
        <f t="shared" si="81"/>
        <v>0</v>
      </c>
      <c r="BN89">
        <f t="shared" si="82"/>
        <v>0</v>
      </c>
      <c r="BO89">
        <f t="shared" si="83"/>
        <v>0</v>
      </c>
      <c r="BP89">
        <f t="shared" si="84"/>
        <v>0</v>
      </c>
      <c r="BQ89">
        <f t="shared" si="85"/>
        <v>0</v>
      </c>
      <c r="BR89">
        <f t="shared" si="86"/>
        <v>365</v>
      </c>
      <c r="BS89">
        <f t="shared" si="87"/>
        <v>335</v>
      </c>
      <c r="BT89">
        <f t="shared" si="88"/>
        <v>304</v>
      </c>
    </row>
    <row r="90" spans="1:72" ht="12.95" customHeight="1" x14ac:dyDescent="0.2">
      <c r="A90">
        <f t="shared" si="40"/>
        <v>2026</v>
      </c>
      <c r="B90">
        <f t="shared" si="65"/>
        <v>12</v>
      </c>
      <c r="C90">
        <f t="shared" si="66"/>
        <v>4</v>
      </c>
      <c r="D90" s="11">
        <f>prod!A87</f>
        <v>46357</v>
      </c>
      <c r="E90" s="11">
        <f t="shared" si="67"/>
        <v>46721</v>
      </c>
      <c r="F90" s="10" t="str">
        <f>prod!B87</f>
        <v>משאיות חובה</v>
      </c>
      <c r="G90" s="10" t="str">
        <f>prod!C87</f>
        <v xml:space="preserve">חובה נגררים </v>
      </c>
      <c r="H90" s="10">
        <f>prod!D87</f>
        <v>2188189</v>
      </c>
      <c r="I90" s="10">
        <f>SUMIFS(info!C:C,info!$A:$A,data!$A90,info!$B:$B,data!$G90)</f>
        <v>0.05</v>
      </c>
      <c r="J90" s="10">
        <f>SUMIFS(info!D:D,info!$A:$A,data!$A90,info!$B:$B,data!$G90)</f>
        <v>0.95</v>
      </c>
      <c r="K90" s="10">
        <f>SUMIFS(info!E:E,info!$A:$A,data!$A90,info!$B:$B,data!$G90)</f>
        <v>0.15</v>
      </c>
      <c r="L90" s="10">
        <f>SUMIFS(info!F:F,info!$A:$A,data!$A90,info!$B:$B,data!$G90)</f>
        <v>0.9</v>
      </c>
      <c r="M90" s="10">
        <f>IF(SUMIFS(info!$C$25:$C$27,info!$A$25:$A$27,data!A90,info!$B$25:$B$27,data!F90)&lt;=0,1,SUMIFS(info!$C$25:$C$27,info!$A$25:$A$27,data!A90,info!$B$25:$B$27,data!F90))*H90</f>
        <v>1737422.0660000001</v>
      </c>
      <c r="N90" s="10">
        <f t="shared" si="68"/>
        <v>2078779.5499999998</v>
      </c>
      <c r="O90" s="10">
        <f t="shared" si="69"/>
        <v>109409.45000000001</v>
      </c>
      <c r="P90" s="10">
        <f t="shared" si="70"/>
        <v>311816.93249999994</v>
      </c>
      <c r="Q90" s="10">
        <f t="shared" si="71"/>
        <v>1969370.1</v>
      </c>
      <c r="R90" s="10">
        <f t="shared" si="72"/>
        <v>1870901.595</v>
      </c>
      <c r="S90" s="10">
        <f t="shared" si="73"/>
        <v>0</v>
      </c>
      <c r="T90" s="10">
        <f t="shared" si="73"/>
        <v>0</v>
      </c>
      <c r="U90" s="10">
        <f t="shared" si="73"/>
        <v>0</v>
      </c>
      <c r="V90" s="10">
        <f t="shared" si="73"/>
        <v>0</v>
      </c>
      <c r="W90" s="10">
        <f t="shared" si="73"/>
        <v>0</v>
      </c>
      <c r="X90" s="10">
        <f t="shared" si="73"/>
        <v>0</v>
      </c>
      <c r="Y90" s="10">
        <f t="shared" si="73"/>
        <v>0</v>
      </c>
      <c r="Z90" s="10">
        <f t="shared" si="73"/>
        <v>1589860.19190137</v>
      </c>
      <c r="AA90" s="10"/>
      <c r="AB90" s="10"/>
      <c r="AC90">
        <f t="shared" si="90"/>
        <v>0</v>
      </c>
      <c r="AD90">
        <f t="shared" si="90"/>
        <v>0</v>
      </c>
      <c r="AE90">
        <f t="shared" si="90"/>
        <v>0</v>
      </c>
      <c r="AF90">
        <f t="shared" si="90"/>
        <v>0</v>
      </c>
      <c r="AG90">
        <f t="shared" si="90"/>
        <v>0</v>
      </c>
      <c r="AH90">
        <f t="shared" si="90"/>
        <v>0</v>
      </c>
      <c r="AI90">
        <f t="shared" si="90"/>
        <v>0</v>
      </c>
      <c r="AJ90">
        <f t="shared" si="90"/>
        <v>0</v>
      </c>
      <c r="AK90">
        <f t="shared" si="90"/>
        <v>0</v>
      </c>
      <c r="AL90">
        <f t="shared" si="90"/>
        <v>0</v>
      </c>
      <c r="AM90">
        <f t="shared" si="90"/>
        <v>0</v>
      </c>
      <c r="AN90">
        <f t="shared" si="90"/>
        <v>0</v>
      </c>
      <c r="AO90">
        <f t="shared" si="90"/>
        <v>0</v>
      </c>
      <c r="AP90">
        <f t="shared" si="90"/>
        <v>0</v>
      </c>
      <c r="AQ90">
        <f t="shared" si="90"/>
        <v>0</v>
      </c>
      <c r="AR90">
        <f t="shared" si="90"/>
        <v>0</v>
      </c>
      <c r="AS90">
        <f t="shared" si="89"/>
        <v>0</v>
      </c>
      <c r="AT90">
        <f t="shared" si="89"/>
        <v>0</v>
      </c>
      <c r="AU90">
        <f t="shared" si="89"/>
        <v>0</v>
      </c>
      <c r="AV90">
        <f t="shared" si="89"/>
        <v>0</v>
      </c>
      <c r="AW90">
        <f t="shared" si="89"/>
        <v>365</v>
      </c>
      <c r="AX90">
        <f t="shared" si="89"/>
        <v>334</v>
      </c>
      <c r="AY90">
        <f t="shared" si="57"/>
        <v>0</v>
      </c>
      <c r="AZ90">
        <f t="shared" si="58"/>
        <v>0</v>
      </c>
      <c r="BA90">
        <f t="shared" si="59"/>
        <v>0</v>
      </c>
      <c r="BB90">
        <f t="shared" si="60"/>
        <v>0</v>
      </c>
      <c r="BC90">
        <f t="shared" si="61"/>
        <v>0</v>
      </c>
      <c r="BD90">
        <f t="shared" si="62"/>
        <v>0</v>
      </c>
      <c r="BE90">
        <f t="shared" si="63"/>
        <v>0</v>
      </c>
      <c r="BF90">
        <f t="shared" si="64"/>
        <v>0</v>
      </c>
      <c r="BG90">
        <f t="shared" si="75"/>
        <v>0</v>
      </c>
      <c r="BH90">
        <f t="shared" si="76"/>
        <v>0</v>
      </c>
      <c r="BI90">
        <f t="shared" si="77"/>
        <v>0</v>
      </c>
      <c r="BJ90">
        <f t="shared" si="78"/>
        <v>0</v>
      </c>
      <c r="BK90">
        <f t="shared" si="79"/>
        <v>0</v>
      </c>
      <c r="BL90">
        <f t="shared" si="80"/>
        <v>0</v>
      </c>
      <c r="BM90">
        <f t="shared" si="81"/>
        <v>0</v>
      </c>
      <c r="BN90">
        <f t="shared" si="82"/>
        <v>0</v>
      </c>
      <c r="BO90">
        <f t="shared" si="83"/>
        <v>0</v>
      </c>
      <c r="BP90">
        <f t="shared" si="84"/>
        <v>0</v>
      </c>
      <c r="BQ90">
        <f t="shared" si="85"/>
        <v>0</v>
      </c>
      <c r="BR90">
        <f t="shared" si="86"/>
        <v>0</v>
      </c>
      <c r="BS90">
        <f t="shared" si="87"/>
        <v>365</v>
      </c>
      <c r="BT90">
        <f t="shared" si="88"/>
        <v>334</v>
      </c>
    </row>
    <row r="91" spans="1:72" ht="12.95" customHeight="1" x14ac:dyDescent="0.2">
      <c r="A91">
        <f t="shared" si="40"/>
        <v>2026</v>
      </c>
      <c r="B91">
        <f t="shared" si="65"/>
        <v>1</v>
      </c>
      <c r="C91">
        <f t="shared" si="66"/>
        <v>1</v>
      </c>
      <c r="D91" s="11">
        <f>prod!A88</f>
        <v>46023</v>
      </c>
      <c r="E91" s="11">
        <f t="shared" si="67"/>
        <v>46387</v>
      </c>
      <c r="F91" s="10" t="str">
        <f>prod!B88</f>
        <v>משאיות חובה</v>
      </c>
      <c r="G91" s="10" t="str">
        <f>prod!C88</f>
        <v>חובה אוטובוסים</v>
      </c>
      <c r="H91" s="10">
        <f>prod!D88</f>
        <v>6020000</v>
      </c>
      <c r="I91" s="10">
        <f>SUMIFS(info!C:C,info!$A:$A,data!$A91,info!$B:$B,data!$G91)</f>
        <v>0.05</v>
      </c>
      <c r="J91" s="10">
        <f>SUMIFS(info!D:D,info!$A:$A,data!$A91,info!$B:$B,data!$G91)</f>
        <v>0.95</v>
      </c>
      <c r="K91" s="10">
        <f>SUMIFS(info!E:E,info!$A:$A,data!$A91,info!$B:$B,data!$G91)</f>
        <v>0.15</v>
      </c>
      <c r="L91" s="10">
        <f>SUMIFS(info!F:F,info!$A:$A,data!$A91,info!$B:$B,data!$G91)</f>
        <v>0.9</v>
      </c>
      <c r="M91" s="10">
        <f>IF(SUMIFS(info!$C$25:$C$27,info!$A$25:$A$27,data!A91,info!$B$25:$B$27,data!F91)&lt;=0,1,SUMIFS(info!$C$25:$C$27,info!$A$25:$A$27,data!A91,info!$B$25:$B$27,data!F91))*H91</f>
        <v>4779880</v>
      </c>
      <c r="N91" s="10">
        <f t="shared" si="68"/>
        <v>5719000</v>
      </c>
      <c r="O91" s="10">
        <f t="shared" si="69"/>
        <v>301000</v>
      </c>
      <c r="P91" s="10">
        <f t="shared" si="70"/>
        <v>857850</v>
      </c>
      <c r="Q91" s="10">
        <f t="shared" si="71"/>
        <v>5418000</v>
      </c>
      <c r="R91" s="10">
        <f t="shared" si="72"/>
        <v>5147100</v>
      </c>
      <c r="S91" s="10">
        <f t="shared" si="73"/>
        <v>0</v>
      </c>
      <c r="T91" s="10">
        <f t="shared" si="73"/>
        <v>0</v>
      </c>
      <c r="U91" s="10">
        <f t="shared" si="73"/>
        <v>0</v>
      </c>
      <c r="V91" s="10">
        <f t="shared" si="73"/>
        <v>0</v>
      </c>
      <c r="W91" s="10">
        <f t="shared" si="73"/>
        <v>3601279.4520547944</v>
      </c>
      <c r="X91" s="10">
        <f t="shared" si="73"/>
        <v>2409583.3424657532</v>
      </c>
      <c r="Y91" s="10">
        <f t="shared" si="73"/>
        <v>1204791.6712328766</v>
      </c>
      <c r="Z91" s="10">
        <f t="shared" si="73"/>
        <v>0</v>
      </c>
      <c r="AA91" s="10"/>
      <c r="AB91" s="10"/>
      <c r="AC91">
        <f t="shared" si="90"/>
        <v>0</v>
      </c>
      <c r="AD91">
        <f t="shared" si="90"/>
        <v>0</v>
      </c>
      <c r="AE91">
        <f t="shared" si="90"/>
        <v>0</v>
      </c>
      <c r="AF91">
        <f t="shared" si="90"/>
        <v>0</v>
      </c>
      <c r="AG91">
        <f t="shared" si="90"/>
        <v>0</v>
      </c>
      <c r="AH91">
        <f t="shared" si="90"/>
        <v>0</v>
      </c>
      <c r="AI91">
        <f t="shared" si="90"/>
        <v>0</v>
      </c>
      <c r="AJ91">
        <f t="shared" si="90"/>
        <v>0</v>
      </c>
      <c r="AK91">
        <f t="shared" si="90"/>
        <v>0</v>
      </c>
      <c r="AL91">
        <f t="shared" si="90"/>
        <v>365</v>
      </c>
      <c r="AM91">
        <f t="shared" si="90"/>
        <v>334</v>
      </c>
      <c r="AN91">
        <f t="shared" si="90"/>
        <v>306</v>
      </c>
      <c r="AO91">
        <f t="shared" si="90"/>
        <v>275</v>
      </c>
      <c r="AP91">
        <f t="shared" si="90"/>
        <v>245</v>
      </c>
      <c r="AQ91">
        <f t="shared" si="90"/>
        <v>214</v>
      </c>
      <c r="AR91">
        <f t="shared" si="90"/>
        <v>184</v>
      </c>
      <c r="AS91">
        <f t="shared" si="89"/>
        <v>153</v>
      </c>
      <c r="AT91">
        <f t="shared" si="89"/>
        <v>122</v>
      </c>
      <c r="AU91">
        <f t="shared" si="89"/>
        <v>92</v>
      </c>
      <c r="AV91">
        <f t="shared" si="89"/>
        <v>61</v>
      </c>
      <c r="AW91">
        <f t="shared" si="89"/>
        <v>31</v>
      </c>
      <c r="AX91">
        <f t="shared" si="89"/>
        <v>0</v>
      </c>
      <c r="AY91">
        <f t="shared" si="57"/>
        <v>0</v>
      </c>
      <c r="AZ91">
        <f t="shared" si="58"/>
        <v>0</v>
      </c>
      <c r="BA91">
        <f t="shared" si="59"/>
        <v>0</v>
      </c>
      <c r="BB91">
        <f t="shared" si="60"/>
        <v>0</v>
      </c>
      <c r="BC91">
        <f t="shared" si="61"/>
        <v>0</v>
      </c>
      <c r="BD91">
        <f t="shared" si="62"/>
        <v>0</v>
      </c>
      <c r="BE91">
        <f t="shared" si="63"/>
        <v>0</v>
      </c>
      <c r="BF91">
        <f t="shared" si="64"/>
        <v>0</v>
      </c>
      <c r="BG91">
        <f t="shared" si="75"/>
        <v>0</v>
      </c>
      <c r="BH91">
        <f t="shared" si="76"/>
        <v>365</v>
      </c>
      <c r="BI91">
        <f t="shared" si="77"/>
        <v>334</v>
      </c>
      <c r="BJ91">
        <f t="shared" si="78"/>
        <v>306</v>
      </c>
      <c r="BK91">
        <f t="shared" si="79"/>
        <v>275</v>
      </c>
      <c r="BL91">
        <f t="shared" si="80"/>
        <v>245</v>
      </c>
      <c r="BM91">
        <f t="shared" si="81"/>
        <v>214</v>
      </c>
      <c r="BN91">
        <f t="shared" si="82"/>
        <v>184</v>
      </c>
      <c r="BO91">
        <f t="shared" si="83"/>
        <v>153</v>
      </c>
      <c r="BP91">
        <f t="shared" si="84"/>
        <v>122</v>
      </c>
      <c r="BQ91">
        <f t="shared" si="85"/>
        <v>92</v>
      </c>
      <c r="BR91">
        <f t="shared" si="86"/>
        <v>61</v>
      </c>
      <c r="BS91">
        <f t="shared" si="87"/>
        <v>31</v>
      </c>
      <c r="BT91">
        <f t="shared" si="88"/>
        <v>0</v>
      </c>
    </row>
    <row r="92" spans="1:72" ht="12.95" customHeight="1" x14ac:dyDescent="0.2">
      <c r="A92">
        <f t="shared" si="40"/>
        <v>2026</v>
      </c>
      <c r="B92">
        <f t="shared" si="65"/>
        <v>2</v>
      </c>
      <c r="C92">
        <f t="shared" si="66"/>
        <v>1</v>
      </c>
      <c r="D92" s="11">
        <f>prod!A89</f>
        <v>46054</v>
      </c>
      <c r="E92" s="11">
        <f t="shared" si="67"/>
        <v>46418</v>
      </c>
      <c r="F92" s="10" t="str">
        <f>prod!B89</f>
        <v>משאיות חובה</v>
      </c>
      <c r="G92" s="10" t="str">
        <f>prod!C89</f>
        <v>חובה אוטובוסים</v>
      </c>
      <c r="H92" s="10">
        <f>prod!D89</f>
        <v>2189091</v>
      </c>
      <c r="I92" s="10">
        <f>SUMIFS(info!C:C,info!$A:$A,data!$A92,info!$B:$B,data!$G92)</f>
        <v>0.05</v>
      </c>
      <c r="J92" s="10">
        <f>SUMIFS(info!D:D,info!$A:$A,data!$A92,info!$B:$B,data!$G92)</f>
        <v>0.95</v>
      </c>
      <c r="K92" s="10">
        <f>SUMIFS(info!E:E,info!$A:$A,data!$A92,info!$B:$B,data!$G92)</f>
        <v>0.15</v>
      </c>
      <c r="L92" s="10">
        <f>SUMIFS(info!F:F,info!$A:$A,data!$A92,info!$B:$B,data!$G92)</f>
        <v>0.9</v>
      </c>
      <c r="M92" s="10">
        <f>IF(SUMIFS(info!$C$25:$C$27,info!$A$25:$A$27,data!A92,info!$B$25:$B$27,data!F92)&lt;=0,1,SUMIFS(info!$C$25:$C$27,info!$A$25:$A$27,data!A92,info!$B$25:$B$27,data!F92))*H92</f>
        <v>1738138.2540000002</v>
      </c>
      <c r="N92" s="10">
        <f t="shared" si="68"/>
        <v>2079636.45</v>
      </c>
      <c r="O92" s="10">
        <f t="shared" si="69"/>
        <v>109454.55</v>
      </c>
      <c r="P92" s="10">
        <f t="shared" si="70"/>
        <v>311945.46749999997</v>
      </c>
      <c r="Q92" s="10">
        <f t="shared" si="71"/>
        <v>1970181.9000000001</v>
      </c>
      <c r="R92" s="10">
        <f t="shared" si="72"/>
        <v>1871672.8049999999</v>
      </c>
      <c r="S92" s="10">
        <f t="shared" si="73"/>
        <v>0</v>
      </c>
      <c r="T92" s="10">
        <f t="shared" si="73"/>
        <v>0</v>
      </c>
      <c r="U92" s="10">
        <f t="shared" si="73"/>
        <v>0</v>
      </c>
      <c r="V92" s="10">
        <f t="shared" si="73"/>
        <v>0</v>
      </c>
      <c r="W92" s="10">
        <f t="shared" si="73"/>
        <v>1457178.9197917809</v>
      </c>
      <c r="X92" s="10">
        <f t="shared" si="73"/>
        <v>1023834.8619452055</v>
      </c>
      <c r="Y92" s="10">
        <f t="shared" si="73"/>
        <v>585728.78148493159</v>
      </c>
      <c r="Z92" s="10">
        <f t="shared" si="73"/>
        <v>147622.70102465755</v>
      </c>
      <c r="AA92" s="10"/>
      <c r="AB92" s="10"/>
      <c r="AC92">
        <f t="shared" si="90"/>
        <v>0</v>
      </c>
      <c r="AD92">
        <f t="shared" si="90"/>
        <v>0</v>
      </c>
      <c r="AE92">
        <f t="shared" si="90"/>
        <v>0</v>
      </c>
      <c r="AF92">
        <f t="shared" si="90"/>
        <v>0</v>
      </c>
      <c r="AG92">
        <f t="shared" si="90"/>
        <v>0</v>
      </c>
      <c r="AH92">
        <f t="shared" si="90"/>
        <v>0</v>
      </c>
      <c r="AI92">
        <f t="shared" si="90"/>
        <v>0</v>
      </c>
      <c r="AJ92">
        <f t="shared" si="90"/>
        <v>0</v>
      </c>
      <c r="AK92">
        <f t="shared" si="90"/>
        <v>0</v>
      </c>
      <c r="AL92">
        <f t="shared" si="90"/>
        <v>0</v>
      </c>
      <c r="AM92">
        <f t="shared" si="90"/>
        <v>365</v>
      </c>
      <c r="AN92">
        <f t="shared" si="90"/>
        <v>337</v>
      </c>
      <c r="AO92">
        <f t="shared" si="90"/>
        <v>306</v>
      </c>
      <c r="AP92">
        <f t="shared" si="90"/>
        <v>276</v>
      </c>
      <c r="AQ92">
        <f t="shared" si="90"/>
        <v>245</v>
      </c>
      <c r="AR92">
        <f t="shared" si="90"/>
        <v>215</v>
      </c>
      <c r="AS92">
        <f t="shared" si="89"/>
        <v>184</v>
      </c>
      <c r="AT92">
        <f t="shared" si="89"/>
        <v>153</v>
      </c>
      <c r="AU92">
        <f t="shared" si="89"/>
        <v>123</v>
      </c>
      <c r="AV92">
        <f t="shared" si="89"/>
        <v>92</v>
      </c>
      <c r="AW92">
        <f t="shared" si="89"/>
        <v>62</v>
      </c>
      <c r="AX92">
        <f t="shared" si="89"/>
        <v>31</v>
      </c>
      <c r="AY92">
        <f t="shared" si="57"/>
        <v>0</v>
      </c>
      <c r="AZ92">
        <f t="shared" si="58"/>
        <v>0</v>
      </c>
      <c r="BA92">
        <f t="shared" si="59"/>
        <v>0</v>
      </c>
      <c r="BB92">
        <f t="shared" si="60"/>
        <v>0</v>
      </c>
      <c r="BC92">
        <f t="shared" si="61"/>
        <v>0</v>
      </c>
      <c r="BD92">
        <f t="shared" si="62"/>
        <v>0</v>
      </c>
      <c r="BE92">
        <f t="shared" si="63"/>
        <v>0</v>
      </c>
      <c r="BF92">
        <f t="shared" si="64"/>
        <v>0</v>
      </c>
      <c r="BG92">
        <f t="shared" si="75"/>
        <v>0</v>
      </c>
      <c r="BH92">
        <f t="shared" si="76"/>
        <v>0</v>
      </c>
      <c r="BI92">
        <f t="shared" si="77"/>
        <v>365</v>
      </c>
      <c r="BJ92">
        <f t="shared" si="78"/>
        <v>337</v>
      </c>
      <c r="BK92">
        <f t="shared" si="79"/>
        <v>306</v>
      </c>
      <c r="BL92">
        <f t="shared" si="80"/>
        <v>276</v>
      </c>
      <c r="BM92">
        <f t="shared" si="81"/>
        <v>245</v>
      </c>
      <c r="BN92">
        <f t="shared" si="82"/>
        <v>215</v>
      </c>
      <c r="BO92">
        <f t="shared" si="83"/>
        <v>184</v>
      </c>
      <c r="BP92">
        <f t="shared" si="84"/>
        <v>153</v>
      </c>
      <c r="BQ92">
        <f t="shared" si="85"/>
        <v>123</v>
      </c>
      <c r="BR92">
        <f t="shared" si="86"/>
        <v>92</v>
      </c>
      <c r="BS92">
        <f t="shared" si="87"/>
        <v>62</v>
      </c>
      <c r="BT92">
        <f t="shared" si="88"/>
        <v>31</v>
      </c>
    </row>
    <row r="93" spans="1:72" ht="12.95" customHeight="1" x14ac:dyDescent="0.2">
      <c r="A93">
        <f t="shared" si="40"/>
        <v>2026</v>
      </c>
      <c r="B93">
        <f t="shared" si="65"/>
        <v>3</v>
      </c>
      <c r="C93">
        <f t="shared" si="66"/>
        <v>1</v>
      </c>
      <c r="D93" s="11">
        <f>prod!A90</f>
        <v>46082</v>
      </c>
      <c r="E93" s="11">
        <f t="shared" si="67"/>
        <v>46446</v>
      </c>
      <c r="F93" s="10" t="str">
        <f>prod!B90</f>
        <v>משאיות חובה</v>
      </c>
      <c r="G93" s="10" t="str">
        <f>prod!C90</f>
        <v>חובה אוטובוסים</v>
      </c>
      <c r="H93" s="10">
        <f>prod!D90</f>
        <v>2189091</v>
      </c>
      <c r="I93" s="10">
        <f>SUMIFS(info!C:C,info!$A:$A,data!$A93,info!$B:$B,data!$G93)</f>
        <v>0.05</v>
      </c>
      <c r="J93" s="10">
        <f>SUMIFS(info!D:D,info!$A:$A,data!$A93,info!$B:$B,data!$G93)</f>
        <v>0.95</v>
      </c>
      <c r="K93" s="10">
        <f>SUMIFS(info!E:E,info!$A:$A,data!$A93,info!$B:$B,data!$G93)</f>
        <v>0.15</v>
      </c>
      <c r="L93" s="10">
        <f>SUMIFS(info!F:F,info!$A:$A,data!$A93,info!$B:$B,data!$G93)</f>
        <v>0.9</v>
      </c>
      <c r="M93" s="10">
        <f>IF(SUMIFS(info!$C$25:$C$27,info!$A$25:$A$27,data!A93,info!$B$25:$B$27,data!F93)&lt;=0,1,SUMIFS(info!$C$25:$C$27,info!$A$25:$A$27,data!A93,info!$B$25:$B$27,data!F93))*H93</f>
        <v>1738138.2540000002</v>
      </c>
      <c r="N93" s="10">
        <f t="shared" si="68"/>
        <v>2079636.45</v>
      </c>
      <c r="O93" s="10">
        <f t="shared" si="69"/>
        <v>109454.55</v>
      </c>
      <c r="P93" s="10">
        <f t="shared" si="70"/>
        <v>311945.46749999997</v>
      </c>
      <c r="Q93" s="10">
        <f t="shared" si="71"/>
        <v>1970181.9000000001</v>
      </c>
      <c r="R93" s="10">
        <f t="shared" si="72"/>
        <v>1871672.8049999999</v>
      </c>
      <c r="S93" s="10">
        <f t="shared" si="73"/>
        <v>0</v>
      </c>
      <c r="T93" s="10">
        <f t="shared" si="73"/>
        <v>0</v>
      </c>
      <c r="U93" s="10">
        <f t="shared" si="73"/>
        <v>0</v>
      </c>
      <c r="V93" s="10">
        <f t="shared" si="73"/>
        <v>0</v>
      </c>
      <c r="W93" s="10">
        <f t="shared" si="73"/>
        <v>1590515.5529753426</v>
      </c>
      <c r="X93" s="10">
        <f t="shared" si="73"/>
        <v>1157171.4951287673</v>
      </c>
      <c r="Y93" s="10">
        <f t="shared" si="73"/>
        <v>719065.41466849321</v>
      </c>
      <c r="Z93" s="10">
        <f t="shared" si="73"/>
        <v>280959.3342082192</v>
      </c>
      <c r="AA93" s="10"/>
      <c r="AB93" s="10"/>
      <c r="AC93">
        <f t="shared" si="90"/>
        <v>0</v>
      </c>
      <c r="AD93">
        <f t="shared" si="90"/>
        <v>0</v>
      </c>
      <c r="AE93">
        <f t="shared" si="90"/>
        <v>0</v>
      </c>
      <c r="AF93">
        <f t="shared" si="90"/>
        <v>0</v>
      </c>
      <c r="AG93">
        <f t="shared" si="90"/>
        <v>0</v>
      </c>
      <c r="AH93">
        <f t="shared" si="90"/>
        <v>0</v>
      </c>
      <c r="AI93">
        <f t="shared" si="90"/>
        <v>0</v>
      </c>
      <c r="AJ93">
        <f t="shared" si="90"/>
        <v>0</v>
      </c>
      <c r="AK93">
        <f t="shared" si="90"/>
        <v>0</v>
      </c>
      <c r="AL93">
        <f t="shared" si="90"/>
        <v>0</v>
      </c>
      <c r="AM93">
        <f t="shared" si="90"/>
        <v>0</v>
      </c>
      <c r="AN93">
        <f t="shared" si="90"/>
        <v>365</v>
      </c>
      <c r="AO93">
        <f t="shared" si="90"/>
        <v>334</v>
      </c>
      <c r="AP93">
        <f t="shared" si="90"/>
        <v>304</v>
      </c>
      <c r="AQ93">
        <f t="shared" si="90"/>
        <v>273</v>
      </c>
      <c r="AR93">
        <f t="shared" si="90"/>
        <v>243</v>
      </c>
      <c r="AS93">
        <f t="shared" si="89"/>
        <v>212</v>
      </c>
      <c r="AT93">
        <f t="shared" si="89"/>
        <v>181</v>
      </c>
      <c r="AU93">
        <f t="shared" si="89"/>
        <v>151</v>
      </c>
      <c r="AV93">
        <f t="shared" si="89"/>
        <v>120</v>
      </c>
      <c r="AW93">
        <f t="shared" si="89"/>
        <v>90</v>
      </c>
      <c r="AX93">
        <f t="shared" si="89"/>
        <v>59</v>
      </c>
      <c r="AY93">
        <f t="shared" si="57"/>
        <v>0</v>
      </c>
      <c r="AZ93">
        <f t="shared" si="58"/>
        <v>0</v>
      </c>
      <c r="BA93">
        <f t="shared" si="59"/>
        <v>0</v>
      </c>
      <c r="BB93">
        <f t="shared" si="60"/>
        <v>0</v>
      </c>
      <c r="BC93">
        <f t="shared" si="61"/>
        <v>0</v>
      </c>
      <c r="BD93">
        <f t="shared" si="62"/>
        <v>0</v>
      </c>
      <c r="BE93">
        <f t="shared" si="63"/>
        <v>0</v>
      </c>
      <c r="BF93">
        <f t="shared" si="64"/>
        <v>0</v>
      </c>
      <c r="BG93">
        <f t="shared" si="75"/>
        <v>0</v>
      </c>
      <c r="BH93">
        <f t="shared" si="76"/>
        <v>0</v>
      </c>
      <c r="BI93">
        <f t="shared" si="77"/>
        <v>0</v>
      </c>
      <c r="BJ93">
        <f t="shared" si="78"/>
        <v>365</v>
      </c>
      <c r="BK93">
        <f t="shared" si="79"/>
        <v>334</v>
      </c>
      <c r="BL93">
        <f t="shared" si="80"/>
        <v>304</v>
      </c>
      <c r="BM93">
        <f t="shared" si="81"/>
        <v>273</v>
      </c>
      <c r="BN93">
        <f t="shared" si="82"/>
        <v>243</v>
      </c>
      <c r="BO93">
        <f t="shared" si="83"/>
        <v>212</v>
      </c>
      <c r="BP93">
        <f t="shared" si="84"/>
        <v>181</v>
      </c>
      <c r="BQ93">
        <f t="shared" si="85"/>
        <v>151</v>
      </c>
      <c r="BR93">
        <f t="shared" si="86"/>
        <v>120</v>
      </c>
      <c r="BS93">
        <f t="shared" si="87"/>
        <v>90</v>
      </c>
      <c r="BT93">
        <f t="shared" si="88"/>
        <v>59</v>
      </c>
    </row>
    <row r="94" spans="1:72" ht="12.95" customHeight="1" x14ac:dyDescent="0.2">
      <c r="A94">
        <f t="shared" si="40"/>
        <v>2026</v>
      </c>
      <c r="B94">
        <f t="shared" si="65"/>
        <v>4</v>
      </c>
      <c r="C94">
        <f t="shared" si="66"/>
        <v>2</v>
      </c>
      <c r="D94" s="11">
        <f>prod!A91</f>
        <v>46113</v>
      </c>
      <c r="E94" s="11">
        <f t="shared" si="67"/>
        <v>46477</v>
      </c>
      <c r="F94" s="10" t="str">
        <f>prod!B91</f>
        <v>משאיות חובה</v>
      </c>
      <c r="G94" s="10" t="str">
        <f>prod!C91</f>
        <v>חובה אוטובוסים</v>
      </c>
      <c r="H94" s="10">
        <f>prod!D91</f>
        <v>2189091</v>
      </c>
      <c r="I94" s="10">
        <f>SUMIFS(info!C:C,info!$A:$A,data!$A94,info!$B:$B,data!$G94)</f>
        <v>0.05</v>
      </c>
      <c r="J94" s="10">
        <f>SUMIFS(info!D:D,info!$A:$A,data!$A94,info!$B:$B,data!$G94)</f>
        <v>0.95</v>
      </c>
      <c r="K94" s="10">
        <f>SUMIFS(info!E:E,info!$A:$A,data!$A94,info!$B:$B,data!$G94)</f>
        <v>0.15</v>
      </c>
      <c r="L94" s="10">
        <f>SUMIFS(info!F:F,info!$A:$A,data!$A94,info!$B:$B,data!$G94)</f>
        <v>0.9</v>
      </c>
      <c r="M94" s="10">
        <f>IF(SUMIFS(info!$C$25:$C$27,info!$A$25:$A$27,data!A94,info!$B$25:$B$27,data!F94)&lt;=0,1,SUMIFS(info!$C$25:$C$27,info!$A$25:$A$27,data!A94,info!$B$25:$B$27,data!F94))*H94</f>
        <v>1738138.2540000002</v>
      </c>
      <c r="N94" s="10">
        <f t="shared" si="68"/>
        <v>2079636.45</v>
      </c>
      <c r="O94" s="10">
        <f t="shared" si="69"/>
        <v>109454.55</v>
      </c>
      <c r="P94" s="10">
        <f t="shared" si="70"/>
        <v>311945.46749999997</v>
      </c>
      <c r="Q94" s="10">
        <f t="shared" si="71"/>
        <v>1970181.9000000001</v>
      </c>
      <c r="R94" s="10">
        <f t="shared" si="72"/>
        <v>1871672.8049999999</v>
      </c>
      <c r="S94" s="10">
        <f t="shared" si="73"/>
        <v>0</v>
      </c>
      <c r="T94" s="10">
        <f t="shared" si="73"/>
        <v>0</v>
      </c>
      <c r="U94" s="10">
        <f t="shared" si="73"/>
        <v>0</v>
      </c>
      <c r="V94" s="10">
        <f t="shared" si="73"/>
        <v>0</v>
      </c>
      <c r="W94" s="10">
        <f t="shared" si="73"/>
        <v>0</v>
      </c>
      <c r="X94" s="10">
        <f t="shared" si="73"/>
        <v>1304794.1961534249</v>
      </c>
      <c r="Y94" s="10">
        <f t="shared" si="73"/>
        <v>866688.11569315079</v>
      </c>
      <c r="Z94" s="10">
        <f t="shared" si="73"/>
        <v>428582.03523287678</v>
      </c>
      <c r="AA94" s="10"/>
      <c r="AB94" s="10"/>
      <c r="AC94">
        <f t="shared" si="90"/>
        <v>0</v>
      </c>
      <c r="AD94">
        <f t="shared" si="90"/>
        <v>0</v>
      </c>
      <c r="AE94">
        <f t="shared" si="90"/>
        <v>0</v>
      </c>
      <c r="AF94">
        <f t="shared" si="90"/>
        <v>0</v>
      </c>
      <c r="AG94">
        <f t="shared" si="90"/>
        <v>0</v>
      </c>
      <c r="AH94">
        <f t="shared" si="90"/>
        <v>0</v>
      </c>
      <c r="AI94">
        <f t="shared" si="90"/>
        <v>0</v>
      </c>
      <c r="AJ94">
        <f t="shared" si="90"/>
        <v>0</v>
      </c>
      <c r="AK94">
        <f t="shared" si="90"/>
        <v>0</v>
      </c>
      <c r="AL94">
        <f t="shared" si="90"/>
        <v>0</v>
      </c>
      <c r="AM94">
        <f t="shared" si="90"/>
        <v>0</v>
      </c>
      <c r="AN94">
        <f t="shared" si="90"/>
        <v>0</v>
      </c>
      <c r="AO94">
        <f t="shared" si="90"/>
        <v>365</v>
      </c>
      <c r="AP94">
        <f t="shared" si="90"/>
        <v>335</v>
      </c>
      <c r="AQ94">
        <f t="shared" si="90"/>
        <v>304</v>
      </c>
      <c r="AR94">
        <f t="shared" si="90"/>
        <v>274</v>
      </c>
      <c r="AS94">
        <f t="shared" si="89"/>
        <v>243</v>
      </c>
      <c r="AT94">
        <f t="shared" si="89"/>
        <v>212</v>
      </c>
      <c r="AU94">
        <f t="shared" si="89"/>
        <v>182</v>
      </c>
      <c r="AV94">
        <f t="shared" si="89"/>
        <v>151</v>
      </c>
      <c r="AW94">
        <f t="shared" si="89"/>
        <v>121</v>
      </c>
      <c r="AX94">
        <f t="shared" si="89"/>
        <v>90</v>
      </c>
      <c r="AY94">
        <f t="shared" si="57"/>
        <v>0</v>
      </c>
      <c r="AZ94">
        <f t="shared" si="58"/>
        <v>0</v>
      </c>
      <c r="BA94">
        <f t="shared" si="59"/>
        <v>0</v>
      </c>
      <c r="BB94">
        <f t="shared" si="60"/>
        <v>0</v>
      </c>
      <c r="BC94">
        <f t="shared" si="61"/>
        <v>0</v>
      </c>
      <c r="BD94">
        <f t="shared" si="62"/>
        <v>0</v>
      </c>
      <c r="BE94">
        <f t="shared" si="63"/>
        <v>0</v>
      </c>
      <c r="BF94">
        <f t="shared" si="64"/>
        <v>0</v>
      </c>
      <c r="BG94">
        <f t="shared" si="75"/>
        <v>0</v>
      </c>
      <c r="BH94">
        <f t="shared" si="76"/>
        <v>0</v>
      </c>
      <c r="BI94">
        <f t="shared" si="77"/>
        <v>0</v>
      </c>
      <c r="BJ94">
        <f t="shared" si="78"/>
        <v>0</v>
      </c>
      <c r="BK94">
        <f t="shared" si="79"/>
        <v>365</v>
      </c>
      <c r="BL94">
        <f t="shared" si="80"/>
        <v>335</v>
      </c>
      <c r="BM94">
        <f t="shared" si="81"/>
        <v>304</v>
      </c>
      <c r="BN94">
        <f t="shared" si="82"/>
        <v>274</v>
      </c>
      <c r="BO94">
        <f t="shared" si="83"/>
        <v>243</v>
      </c>
      <c r="BP94">
        <f t="shared" si="84"/>
        <v>212</v>
      </c>
      <c r="BQ94">
        <f t="shared" si="85"/>
        <v>182</v>
      </c>
      <c r="BR94">
        <f t="shared" si="86"/>
        <v>151</v>
      </c>
      <c r="BS94">
        <f t="shared" si="87"/>
        <v>121</v>
      </c>
      <c r="BT94">
        <f t="shared" si="88"/>
        <v>90</v>
      </c>
    </row>
    <row r="95" spans="1:72" ht="12.95" customHeight="1" x14ac:dyDescent="0.2">
      <c r="A95">
        <f t="shared" si="40"/>
        <v>2026</v>
      </c>
      <c r="B95">
        <f t="shared" si="65"/>
        <v>5</v>
      </c>
      <c r="C95">
        <f t="shared" si="66"/>
        <v>2</v>
      </c>
      <c r="D95" s="11">
        <f>prod!A92</f>
        <v>46143</v>
      </c>
      <c r="E95" s="11">
        <f t="shared" si="67"/>
        <v>46507</v>
      </c>
      <c r="F95" s="10" t="str">
        <f>prod!B92</f>
        <v>משאיות חובה</v>
      </c>
      <c r="G95" s="10" t="str">
        <f>prod!C92</f>
        <v>חובה אוטובוסים</v>
      </c>
      <c r="H95" s="10">
        <f>prod!D92</f>
        <v>2189091</v>
      </c>
      <c r="I95" s="10">
        <f>SUMIFS(info!C:C,info!$A:$A,data!$A95,info!$B:$B,data!$G95)</f>
        <v>0.05</v>
      </c>
      <c r="J95" s="10">
        <f>SUMIFS(info!D:D,info!$A:$A,data!$A95,info!$B:$B,data!$G95)</f>
        <v>0.95</v>
      </c>
      <c r="K95" s="10">
        <f>SUMIFS(info!E:E,info!$A:$A,data!$A95,info!$B:$B,data!$G95)</f>
        <v>0.15</v>
      </c>
      <c r="L95" s="10">
        <f>SUMIFS(info!F:F,info!$A:$A,data!$A95,info!$B:$B,data!$G95)</f>
        <v>0.9</v>
      </c>
      <c r="M95" s="10">
        <f>IF(SUMIFS(info!$C$25:$C$27,info!$A$25:$A$27,data!A95,info!$B$25:$B$27,data!F95)&lt;=0,1,SUMIFS(info!$C$25:$C$27,info!$A$25:$A$27,data!A95,info!$B$25:$B$27,data!F95))*H95</f>
        <v>1738138.2540000002</v>
      </c>
      <c r="N95" s="10">
        <f t="shared" si="68"/>
        <v>2079636.45</v>
      </c>
      <c r="O95" s="10">
        <f t="shared" si="69"/>
        <v>109454.55</v>
      </c>
      <c r="P95" s="10">
        <f t="shared" si="70"/>
        <v>311945.46749999997</v>
      </c>
      <c r="Q95" s="10">
        <f t="shared" si="71"/>
        <v>1970181.9000000001</v>
      </c>
      <c r="R95" s="10">
        <f t="shared" si="72"/>
        <v>1871672.8049999999</v>
      </c>
      <c r="S95" s="10">
        <f t="shared" si="73"/>
        <v>0</v>
      </c>
      <c r="T95" s="10">
        <f t="shared" si="73"/>
        <v>0</v>
      </c>
      <c r="U95" s="10">
        <f t="shared" si="73"/>
        <v>0</v>
      </c>
      <c r="V95" s="10">
        <f t="shared" si="73"/>
        <v>0</v>
      </c>
      <c r="W95" s="10">
        <f t="shared" si="73"/>
        <v>0</v>
      </c>
      <c r="X95" s="10">
        <f t="shared" si="73"/>
        <v>1447654.8745643839</v>
      </c>
      <c r="Y95" s="10">
        <f t="shared" si="73"/>
        <v>1009548.7941041098</v>
      </c>
      <c r="Z95" s="10">
        <f t="shared" si="73"/>
        <v>571442.71364383562</v>
      </c>
      <c r="AA95" s="10"/>
      <c r="AB95" s="10"/>
      <c r="AC95">
        <f t="shared" si="90"/>
        <v>0</v>
      </c>
      <c r="AD95">
        <f t="shared" si="90"/>
        <v>0</v>
      </c>
      <c r="AE95">
        <f t="shared" si="90"/>
        <v>0</v>
      </c>
      <c r="AF95">
        <f t="shared" si="90"/>
        <v>0</v>
      </c>
      <c r="AG95">
        <f t="shared" si="90"/>
        <v>0</v>
      </c>
      <c r="AH95">
        <f t="shared" si="90"/>
        <v>0</v>
      </c>
      <c r="AI95">
        <f t="shared" si="90"/>
        <v>0</v>
      </c>
      <c r="AJ95">
        <f t="shared" si="90"/>
        <v>0</v>
      </c>
      <c r="AK95">
        <f t="shared" si="90"/>
        <v>0</v>
      </c>
      <c r="AL95">
        <f t="shared" si="90"/>
        <v>0</v>
      </c>
      <c r="AM95">
        <f t="shared" si="90"/>
        <v>0</v>
      </c>
      <c r="AN95">
        <f t="shared" si="90"/>
        <v>0</v>
      </c>
      <c r="AO95">
        <f t="shared" si="90"/>
        <v>0</v>
      </c>
      <c r="AP95">
        <f t="shared" si="90"/>
        <v>365</v>
      </c>
      <c r="AQ95">
        <f t="shared" si="90"/>
        <v>334</v>
      </c>
      <c r="AR95">
        <f t="shared" si="90"/>
        <v>304</v>
      </c>
      <c r="AS95">
        <f t="shared" si="89"/>
        <v>273</v>
      </c>
      <c r="AT95">
        <f t="shared" si="89"/>
        <v>242</v>
      </c>
      <c r="AU95">
        <f t="shared" si="89"/>
        <v>212</v>
      </c>
      <c r="AV95">
        <f t="shared" si="89"/>
        <v>181</v>
      </c>
      <c r="AW95">
        <f t="shared" si="89"/>
        <v>151</v>
      </c>
      <c r="AX95">
        <f t="shared" si="89"/>
        <v>120</v>
      </c>
      <c r="AY95">
        <f t="shared" si="57"/>
        <v>0</v>
      </c>
      <c r="AZ95">
        <f t="shared" si="58"/>
        <v>0</v>
      </c>
      <c r="BA95">
        <f t="shared" si="59"/>
        <v>0</v>
      </c>
      <c r="BB95">
        <f t="shared" si="60"/>
        <v>0</v>
      </c>
      <c r="BC95">
        <f t="shared" si="61"/>
        <v>0</v>
      </c>
      <c r="BD95">
        <f t="shared" si="62"/>
        <v>0</v>
      </c>
      <c r="BE95">
        <f t="shared" si="63"/>
        <v>0</v>
      </c>
      <c r="BF95">
        <f t="shared" si="64"/>
        <v>0</v>
      </c>
      <c r="BG95">
        <f t="shared" si="75"/>
        <v>0</v>
      </c>
      <c r="BH95">
        <f t="shared" si="76"/>
        <v>0</v>
      </c>
      <c r="BI95">
        <f t="shared" si="77"/>
        <v>0</v>
      </c>
      <c r="BJ95">
        <f t="shared" si="78"/>
        <v>0</v>
      </c>
      <c r="BK95">
        <f t="shared" si="79"/>
        <v>0</v>
      </c>
      <c r="BL95">
        <f t="shared" si="80"/>
        <v>365</v>
      </c>
      <c r="BM95">
        <f t="shared" si="81"/>
        <v>334</v>
      </c>
      <c r="BN95">
        <f t="shared" si="82"/>
        <v>304</v>
      </c>
      <c r="BO95">
        <f t="shared" si="83"/>
        <v>273</v>
      </c>
      <c r="BP95">
        <f t="shared" si="84"/>
        <v>242</v>
      </c>
      <c r="BQ95">
        <f t="shared" si="85"/>
        <v>212</v>
      </c>
      <c r="BR95">
        <f t="shared" si="86"/>
        <v>181</v>
      </c>
      <c r="BS95">
        <f t="shared" si="87"/>
        <v>151</v>
      </c>
      <c r="BT95">
        <f t="shared" si="88"/>
        <v>120</v>
      </c>
    </row>
    <row r="96" spans="1:72" ht="12.95" customHeight="1" x14ac:dyDescent="0.2">
      <c r="A96">
        <f t="shared" si="40"/>
        <v>2026</v>
      </c>
      <c r="B96">
        <f t="shared" si="65"/>
        <v>6</v>
      </c>
      <c r="C96">
        <f t="shared" si="66"/>
        <v>2</v>
      </c>
      <c r="D96" s="11">
        <f>prod!A93</f>
        <v>46174</v>
      </c>
      <c r="E96" s="11">
        <f t="shared" si="67"/>
        <v>46538</v>
      </c>
      <c r="F96" s="10" t="str">
        <f>prod!B93</f>
        <v>משאיות חובה</v>
      </c>
      <c r="G96" s="10" t="str">
        <f>prod!C93</f>
        <v>חובה אוטובוסים</v>
      </c>
      <c r="H96" s="10">
        <f>prod!D93</f>
        <v>2189091</v>
      </c>
      <c r="I96" s="10">
        <f>SUMIFS(info!C:C,info!$A:$A,data!$A96,info!$B:$B,data!$G96)</f>
        <v>0.05</v>
      </c>
      <c r="J96" s="10">
        <f>SUMIFS(info!D:D,info!$A:$A,data!$A96,info!$B:$B,data!$G96)</f>
        <v>0.95</v>
      </c>
      <c r="K96" s="10">
        <f>SUMIFS(info!E:E,info!$A:$A,data!$A96,info!$B:$B,data!$G96)</f>
        <v>0.15</v>
      </c>
      <c r="L96" s="10">
        <f>SUMIFS(info!F:F,info!$A:$A,data!$A96,info!$B:$B,data!$G96)</f>
        <v>0.9</v>
      </c>
      <c r="M96" s="10">
        <f>IF(SUMIFS(info!$C$25:$C$27,info!$A$25:$A$27,data!A96,info!$B$25:$B$27,data!F96)&lt;=0,1,SUMIFS(info!$C$25:$C$27,info!$A$25:$A$27,data!A96,info!$B$25:$B$27,data!F96))*H96</f>
        <v>1738138.2540000002</v>
      </c>
      <c r="N96" s="10">
        <f t="shared" si="68"/>
        <v>2079636.45</v>
      </c>
      <c r="O96" s="10">
        <f t="shared" si="69"/>
        <v>109454.55</v>
      </c>
      <c r="P96" s="10">
        <f t="shared" si="70"/>
        <v>311945.46749999997</v>
      </c>
      <c r="Q96" s="10">
        <f t="shared" si="71"/>
        <v>1970181.9000000001</v>
      </c>
      <c r="R96" s="10">
        <f t="shared" si="72"/>
        <v>1871672.8049999999</v>
      </c>
      <c r="S96" s="10">
        <f t="shared" si="73"/>
        <v>0</v>
      </c>
      <c r="T96" s="10">
        <f t="shared" si="73"/>
        <v>0</v>
      </c>
      <c r="U96" s="10">
        <f t="shared" si="73"/>
        <v>0</v>
      </c>
      <c r="V96" s="10">
        <f t="shared" si="73"/>
        <v>0</v>
      </c>
      <c r="W96" s="10">
        <f t="shared" si="73"/>
        <v>0</v>
      </c>
      <c r="X96" s="10">
        <f t="shared" si="73"/>
        <v>1595277.5755890412</v>
      </c>
      <c r="Y96" s="10">
        <f t="shared" si="73"/>
        <v>1157171.4951287673</v>
      </c>
      <c r="Z96" s="10">
        <f t="shared" si="73"/>
        <v>719065.41466849321</v>
      </c>
      <c r="AA96" s="10"/>
      <c r="AB96" s="10"/>
      <c r="AC96">
        <f t="shared" si="90"/>
        <v>0</v>
      </c>
      <c r="AD96">
        <f t="shared" si="90"/>
        <v>0</v>
      </c>
      <c r="AE96">
        <f t="shared" si="90"/>
        <v>0</v>
      </c>
      <c r="AF96">
        <f t="shared" si="90"/>
        <v>0</v>
      </c>
      <c r="AG96">
        <f t="shared" si="90"/>
        <v>0</v>
      </c>
      <c r="AH96">
        <f t="shared" si="90"/>
        <v>0</v>
      </c>
      <c r="AI96">
        <f t="shared" si="90"/>
        <v>0</v>
      </c>
      <c r="AJ96">
        <f t="shared" si="90"/>
        <v>0</v>
      </c>
      <c r="AK96">
        <f t="shared" si="90"/>
        <v>0</v>
      </c>
      <c r="AL96">
        <f t="shared" si="90"/>
        <v>0</v>
      </c>
      <c r="AM96">
        <f t="shared" si="90"/>
        <v>0</v>
      </c>
      <c r="AN96">
        <f t="shared" si="90"/>
        <v>0</v>
      </c>
      <c r="AO96">
        <f t="shared" si="90"/>
        <v>0</v>
      </c>
      <c r="AP96">
        <f t="shared" si="90"/>
        <v>0</v>
      </c>
      <c r="AQ96">
        <f t="shared" si="90"/>
        <v>365</v>
      </c>
      <c r="AR96">
        <f t="shared" si="90"/>
        <v>335</v>
      </c>
      <c r="AS96">
        <f t="shared" si="89"/>
        <v>304</v>
      </c>
      <c r="AT96">
        <f t="shared" si="89"/>
        <v>273</v>
      </c>
      <c r="AU96">
        <f t="shared" si="89"/>
        <v>243</v>
      </c>
      <c r="AV96">
        <f t="shared" si="89"/>
        <v>212</v>
      </c>
      <c r="AW96">
        <f t="shared" si="89"/>
        <v>182</v>
      </c>
      <c r="AX96">
        <f t="shared" si="89"/>
        <v>151</v>
      </c>
      <c r="AY96">
        <f t="shared" si="57"/>
        <v>0</v>
      </c>
      <c r="AZ96">
        <f t="shared" si="58"/>
        <v>0</v>
      </c>
      <c r="BA96">
        <f t="shared" si="59"/>
        <v>0</v>
      </c>
      <c r="BB96">
        <f t="shared" si="60"/>
        <v>0</v>
      </c>
      <c r="BC96">
        <f t="shared" si="61"/>
        <v>0</v>
      </c>
      <c r="BD96">
        <f t="shared" si="62"/>
        <v>0</v>
      </c>
      <c r="BE96">
        <f t="shared" si="63"/>
        <v>0</v>
      </c>
      <c r="BF96">
        <f t="shared" si="64"/>
        <v>0</v>
      </c>
      <c r="BG96">
        <f t="shared" si="75"/>
        <v>0</v>
      </c>
      <c r="BH96">
        <f t="shared" si="76"/>
        <v>0</v>
      </c>
      <c r="BI96">
        <f t="shared" si="77"/>
        <v>0</v>
      </c>
      <c r="BJ96">
        <f t="shared" si="78"/>
        <v>0</v>
      </c>
      <c r="BK96">
        <f t="shared" si="79"/>
        <v>0</v>
      </c>
      <c r="BL96">
        <f t="shared" si="80"/>
        <v>0</v>
      </c>
      <c r="BM96">
        <f t="shared" si="81"/>
        <v>365</v>
      </c>
      <c r="BN96">
        <f t="shared" si="82"/>
        <v>335</v>
      </c>
      <c r="BO96">
        <f t="shared" si="83"/>
        <v>304</v>
      </c>
      <c r="BP96">
        <f t="shared" si="84"/>
        <v>273</v>
      </c>
      <c r="BQ96">
        <f t="shared" si="85"/>
        <v>243</v>
      </c>
      <c r="BR96">
        <f t="shared" si="86"/>
        <v>212</v>
      </c>
      <c r="BS96">
        <f t="shared" si="87"/>
        <v>182</v>
      </c>
      <c r="BT96">
        <f t="shared" si="88"/>
        <v>151</v>
      </c>
    </row>
    <row r="97" spans="1:72" ht="12.95" customHeight="1" x14ac:dyDescent="0.2">
      <c r="A97">
        <f t="shared" si="40"/>
        <v>2026</v>
      </c>
      <c r="B97">
        <f t="shared" si="65"/>
        <v>7</v>
      </c>
      <c r="C97">
        <f t="shared" si="66"/>
        <v>3</v>
      </c>
      <c r="D97" s="11">
        <f>prod!A94</f>
        <v>46204</v>
      </c>
      <c r="E97" s="11">
        <f t="shared" si="67"/>
        <v>46568</v>
      </c>
      <c r="F97" s="10" t="str">
        <f>prod!B94</f>
        <v>משאיות חובה</v>
      </c>
      <c r="G97" s="10" t="str">
        <f>prod!C94</f>
        <v>חובה אוטובוסים</v>
      </c>
      <c r="H97" s="10">
        <f>prod!D94</f>
        <v>2194341</v>
      </c>
      <c r="I97" s="10">
        <f>SUMIFS(info!C:C,info!$A:$A,data!$A97,info!$B:$B,data!$G97)</f>
        <v>0.05</v>
      </c>
      <c r="J97" s="10">
        <f>SUMIFS(info!D:D,info!$A:$A,data!$A97,info!$B:$B,data!$G97)</f>
        <v>0.95</v>
      </c>
      <c r="K97" s="10">
        <f>SUMIFS(info!E:E,info!$A:$A,data!$A97,info!$B:$B,data!$G97)</f>
        <v>0.15</v>
      </c>
      <c r="L97" s="10">
        <f>SUMIFS(info!F:F,info!$A:$A,data!$A97,info!$B:$B,data!$G97)</f>
        <v>0.9</v>
      </c>
      <c r="M97" s="10">
        <f>IF(SUMIFS(info!$C$25:$C$27,info!$A$25:$A$27,data!A97,info!$B$25:$B$27,data!F97)&lt;=0,1,SUMIFS(info!$C$25:$C$27,info!$A$25:$A$27,data!A97,info!$B$25:$B$27,data!F97))*H97</f>
        <v>1742306.7540000002</v>
      </c>
      <c r="N97" s="10">
        <f t="shared" si="68"/>
        <v>2084623.95</v>
      </c>
      <c r="O97" s="10">
        <f t="shared" si="69"/>
        <v>109717.05</v>
      </c>
      <c r="P97" s="10">
        <f t="shared" si="70"/>
        <v>312693.59249999997</v>
      </c>
      <c r="Q97" s="10">
        <f t="shared" si="71"/>
        <v>1974906.9000000001</v>
      </c>
      <c r="R97" s="10">
        <f t="shared" si="72"/>
        <v>1876161.5549999999</v>
      </c>
      <c r="S97" s="10">
        <f t="shared" si="73"/>
        <v>0</v>
      </c>
      <c r="T97" s="10">
        <f t="shared" si="73"/>
        <v>0</v>
      </c>
      <c r="U97" s="10">
        <f t="shared" si="73"/>
        <v>0</v>
      </c>
      <c r="V97" s="10">
        <f t="shared" ref="T97:Z112" si="91">IF($D97&gt;V$4,0,$M97*MAX(0,$E97-V$4)/($E97-$D97+1))</f>
        <v>0</v>
      </c>
      <c r="W97" s="10">
        <f t="shared" si="91"/>
        <v>0</v>
      </c>
      <c r="X97" s="10">
        <f t="shared" si="91"/>
        <v>0</v>
      </c>
      <c r="Y97" s="10">
        <f t="shared" si="91"/>
        <v>1303149.9831287672</v>
      </c>
      <c r="Z97" s="10">
        <f t="shared" si="91"/>
        <v>863993.21225753438</v>
      </c>
      <c r="AA97" s="10"/>
      <c r="AB97" s="10"/>
      <c r="AC97">
        <f t="shared" si="90"/>
        <v>0</v>
      </c>
      <c r="AD97">
        <f t="shared" si="90"/>
        <v>0</v>
      </c>
      <c r="AE97">
        <f t="shared" si="90"/>
        <v>0</v>
      </c>
      <c r="AF97">
        <f t="shared" si="90"/>
        <v>0</v>
      </c>
      <c r="AG97">
        <f t="shared" si="90"/>
        <v>0</v>
      </c>
      <c r="AH97">
        <f t="shared" si="90"/>
        <v>0</v>
      </c>
      <c r="AI97">
        <f t="shared" si="90"/>
        <v>0</v>
      </c>
      <c r="AJ97">
        <f t="shared" si="90"/>
        <v>0</v>
      </c>
      <c r="AK97">
        <f t="shared" si="90"/>
        <v>0</v>
      </c>
      <c r="AL97">
        <f t="shared" si="90"/>
        <v>0</v>
      </c>
      <c r="AM97">
        <f t="shared" si="90"/>
        <v>0</v>
      </c>
      <c r="AN97">
        <f t="shared" si="90"/>
        <v>0</v>
      </c>
      <c r="AO97">
        <f t="shared" si="90"/>
        <v>0</v>
      </c>
      <c r="AP97">
        <f t="shared" si="90"/>
        <v>0</v>
      </c>
      <c r="AQ97">
        <f t="shared" si="90"/>
        <v>0</v>
      </c>
      <c r="AR97">
        <f t="shared" si="90"/>
        <v>365</v>
      </c>
      <c r="AS97">
        <f t="shared" si="89"/>
        <v>334</v>
      </c>
      <c r="AT97">
        <f t="shared" si="89"/>
        <v>303</v>
      </c>
      <c r="AU97">
        <f t="shared" si="89"/>
        <v>273</v>
      </c>
      <c r="AV97">
        <f t="shared" si="89"/>
        <v>242</v>
      </c>
      <c r="AW97">
        <f t="shared" si="89"/>
        <v>212</v>
      </c>
      <c r="AX97">
        <f t="shared" si="89"/>
        <v>181</v>
      </c>
      <c r="AY97">
        <f t="shared" si="57"/>
        <v>0</v>
      </c>
      <c r="AZ97">
        <f t="shared" si="58"/>
        <v>0</v>
      </c>
      <c r="BA97">
        <f t="shared" si="59"/>
        <v>0</v>
      </c>
      <c r="BB97">
        <f t="shared" si="60"/>
        <v>0</v>
      </c>
      <c r="BC97">
        <f t="shared" si="61"/>
        <v>0</v>
      </c>
      <c r="BD97">
        <f t="shared" si="62"/>
        <v>0</v>
      </c>
      <c r="BE97">
        <f t="shared" si="63"/>
        <v>0</v>
      </c>
      <c r="BF97">
        <f t="shared" si="64"/>
        <v>0</v>
      </c>
      <c r="BG97">
        <f t="shared" si="75"/>
        <v>0</v>
      </c>
      <c r="BH97">
        <f t="shared" si="76"/>
        <v>0</v>
      </c>
      <c r="BI97">
        <f t="shared" si="77"/>
        <v>0</v>
      </c>
      <c r="BJ97">
        <f t="shared" si="78"/>
        <v>0</v>
      </c>
      <c r="BK97">
        <f t="shared" si="79"/>
        <v>0</v>
      </c>
      <c r="BL97">
        <f t="shared" si="80"/>
        <v>0</v>
      </c>
      <c r="BM97">
        <f t="shared" si="81"/>
        <v>0</v>
      </c>
      <c r="BN97">
        <f t="shared" si="82"/>
        <v>365</v>
      </c>
      <c r="BO97">
        <f t="shared" si="83"/>
        <v>334</v>
      </c>
      <c r="BP97">
        <f t="shared" si="84"/>
        <v>303</v>
      </c>
      <c r="BQ97">
        <f t="shared" si="85"/>
        <v>273</v>
      </c>
      <c r="BR97">
        <f t="shared" si="86"/>
        <v>242</v>
      </c>
      <c r="BS97">
        <f t="shared" si="87"/>
        <v>212</v>
      </c>
      <c r="BT97">
        <f t="shared" si="88"/>
        <v>181</v>
      </c>
    </row>
    <row r="98" spans="1:72" ht="12.95" customHeight="1" x14ac:dyDescent="0.2">
      <c r="A98">
        <f t="shared" si="40"/>
        <v>2026</v>
      </c>
      <c r="B98">
        <f t="shared" si="65"/>
        <v>8</v>
      </c>
      <c r="C98">
        <f t="shared" si="66"/>
        <v>3</v>
      </c>
      <c r="D98" s="11">
        <f>prod!A95</f>
        <v>46235</v>
      </c>
      <c r="E98" s="11">
        <f t="shared" si="67"/>
        <v>46599</v>
      </c>
      <c r="F98" s="10" t="str">
        <f>prod!B95</f>
        <v>משאיות חובה</v>
      </c>
      <c r="G98" s="10" t="str">
        <f>prod!C95</f>
        <v>חובה אוטובוסים</v>
      </c>
      <c r="H98" s="10">
        <f>prod!D95</f>
        <v>2189091</v>
      </c>
      <c r="I98" s="10">
        <f>SUMIFS(info!C:C,info!$A:$A,data!$A98,info!$B:$B,data!$G98)</f>
        <v>0.05</v>
      </c>
      <c r="J98" s="10">
        <f>SUMIFS(info!D:D,info!$A:$A,data!$A98,info!$B:$B,data!$G98)</f>
        <v>0.95</v>
      </c>
      <c r="K98" s="10">
        <f>SUMIFS(info!E:E,info!$A:$A,data!$A98,info!$B:$B,data!$G98)</f>
        <v>0.15</v>
      </c>
      <c r="L98" s="10">
        <f>SUMIFS(info!F:F,info!$A:$A,data!$A98,info!$B:$B,data!$G98)</f>
        <v>0.9</v>
      </c>
      <c r="M98" s="10">
        <f>IF(SUMIFS(info!$C$25:$C$27,info!$A$25:$A$27,data!A98,info!$B$25:$B$27,data!F98)&lt;=0,1,SUMIFS(info!$C$25:$C$27,info!$A$25:$A$27,data!A98,info!$B$25:$B$27,data!F98))*H98</f>
        <v>1738138.2540000002</v>
      </c>
      <c r="N98" s="10">
        <f t="shared" si="68"/>
        <v>2079636.45</v>
      </c>
      <c r="O98" s="10">
        <f t="shared" si="69"/>
        <v>109454.55</v>
      </c>
      <c r="P98" s="10">
        <f t="shared" si="70"/>
        <v>311945.46749999997</v>
      </c>
      <c r="Q98" s="10">
        <f t="shared" si="71"/>
        <v>1970181.9000000001</v>
      </c>
      <c r="R98" s="10">
        <f t="shared" si="72"/>
        <v>1871672.8049999999</v>
      </c>
      <c r="S98" s="10">
        <f t="shared" si="73"/>
        <v>0</v>
      </c>
      <c r="T98" s="10">
        <f t="shared" si="91"/>
        <v>0</v>
      </c>
      <c r="U98" s="10">
        <f t="shared" si="91"/>
        <v>0</v>
      </c>
      <c r="V98" s="10">
        <f t="shared" si="91"/>
        <v>0</v>
      </c>
      <c r="W98" s="10">
        <f t="shared" si="91"/>
        <v>0</v>
      </c>
      <c r="X98" s="10">
        <f t="shared" si="91"/>
        <v>0</v>
      </c>
      <c r="Y98" s="10">
        <f t="shared" si="91"/>
        <v>1447654.8745643839</v>
      </c>
      <c r="Z98" s="10">
        <f t="shared" si="91"/>
        <v>1009548.7941041098</v>
      </c>
      <c r="AA98" s="10"/>
      <c r="AB98" s="10"/>
      <c r="AC98">
        <f t="shared" si="90"/>
        <v>0</v>
      </c>
      <c r="AD98">
        <f t="shared" si="90"/>
        <v>0</v>
      </c>
      <c r="AE98">
        <f t="shared" si="90"/>
        <v>0</v>
      </c>
      <c r="AF98">
        <f t="shared" si="90"/>
        <v>0</v>
      </c>
      <c r="AG98">
        <f t="shared" si="90"/>
        <v>0</v>
      </c>
      <c r="AH98">
        <f t="shared" si="90"/>
        <v>0</v>
      </c>
      <c r="AI98">
        <f t="shared" si="90"/>
        <v>0</v>
      </c>
      <c r="AJ98">
        <f t="shared" si="90"/>
        <v>0</v>
      </c>
      <c r="AK98">
        <f t="shared" si="90"/>
        <v>0</v>
      </c>
      <c r="AL98">
        <f t="shared" si="90"/>
        <v>0</v>
      </c>
      <c r="AM98">
        <f t="shared" si="90"/>
        <v>0</v>
      </c>
      <c r="AN98">
        <f t="shared" si="90"/>
        <v>0</v>
      </c>
      <c r="AO98">
        <f t="shared" si="90"/>
        <v>0</v>
      </c>
      <c r="AP98">
        <f t="shared" si="90"/>
        <v>0</v>
      </c>
      <c r="AQ98">
        <f t="shared" si="90"/>
        <v>0</v>
      </c>
      <c r="AR98">
        <f t="shared" si="90"/>
        <v>0</v>
      </c>
      <c r="AS98">
        <f t="shared" si="89"/>
        <v>365</v>
      </c>
      <c r="AT98">
        <f t="shared" si="89"/>
        <v>334</v>
      </c>
      <c r="AU98">
        <f t="shared" si="89"/>
        <v>304</v>
      </c>
      <c r="AV98">
        <f t="shared" si="89"/>
        <v>273</v>
      </c>
      <c r="AW98">
        <f t="shared" si="89"/>
        <v>243</v>
      </c>
      <c r="AX98">
        <f t="shared" si="89"/>
        <v>212</v>
      </c>
      <c r="AY98">
        <f t="shared" si="57"/>
        <v>0</v>
      </c>
      <c r="AZ98">
        <f t="shared" si="58"/>
        <v>0</v>
      </c>
      <c r="BA98">
        <f t="shared" si="59"/>
        <v>0</v>
      </c>
      <c r="BB98">
        <f t="shared" si="60"/>
        <v>0</v>
      </c>
      <c r="BC98">
        <f t="shared" si="61"/>
        <v>0</v>
      </c>
      <c r="BD98">
        <f t="shared" si="62"/>
        <v>0</v>
      </c>
      <c r="BE98">
        <f t="shared" si="63"/>
        <v>0</v>
      </c>
      <c r="BF98">
        <f t="shared" si="64"/>
        <v>0</v>
      </c>
      <c r="BG98">
        <f t="shared" si="75"/>
        <v>0</v>
      </c>
      <c r="BH98">
        <f t="shared" si="76"/>
        <v>0</v>
      </c>
      <c r="BI98">
        <f t="shared" si="77"/>
        <v>0</v>
      </c>
      <c r="BJ98">
        <f t="shared" si="78"/>
        <v>0</v>
      </c>
      <c r="BK98">
        <f t="shared" si="79"/>
        <v>0</v>
      </c>
      <c r="BL98">
        <f t="shared" si="80"/>
        <v>0</v>
      </c>
      <c r="BM98">
        <f t="shared" si="81"/>
        <v>0</v>
      </c>
      <c r="BN98">
        <f t="shared" si="82"/>
        <v>0</v>
      </c>
      <c r="BO98">
        <f t="shared" si="83"/>
        <v>365</v>
      </c>
      <c r="BP98">
        <f t="shared" si="84"/>
        <v>334</v>
      </c>
      <c r="BQ98">
        <f t="shared" si="85"/>
        <v>304</v>
      </c>
      <c r="BR98">
        <f t="shared" si="86"/>
        <v>273</v>
      </c>
      <c r="BS98">
        <f t="shared" si="87"/>
        <v>243</v>
      </c>
      <c r="BT98">
        <f t="shared" si="88"/>
        <v>212</v>
      </c>
    </row>
    <row r="99" spans="1:72" ht="12.95" customHeight="1" x14ac:dyDescent="0.2">
      <c r="A99">
        <f t="shared" si="40"/>
        <v>2026</v>
      </c>
      <c r="B99">
        <f t="shared" si="65"/>
        <v>9</v>
      </c>
      <c r="C99">
        <f t="shared" si="66"/>
        <v>3</v>
      </c>
      <c r="D99" s="11">
        <f>prod!A96</f>
        <v>46266</v>
      </c>
      <c r="E99" s="11">
        <f t="shared" si="67"/>
        <v>46630</v>
      </c>
      <c r="F99" s="10" t="str">
        <f>prod!B96</f>
        <v>משאיות חובה</v>
      </c>
      <c r="G99" s="10" t="str">
        <f>prod!C96</f>
        <v>חובה אוטובוסים</v>
      </c>
      <c r="H99" s="10">
        <f>prod!D96</f>
        <v>2462091</v>
      </c>
      <c r="I99" s="10">
        <f>SUMIFS(info!C:C,info!$A:$A,data!$A99,info!$B:$B,data!$G99)</f>
        <v>0.05</v>
      </c>
      <c r="J99" s="10">
        <f>SUMIFS(info!D:D,info!$A:$A,data!$A99,info!$B:$B,data!$G99)</f>
        <v>0.95</v>
      </c>
      <c r="K99" s="10">
        <f>SUMIFS(info!E:E,info!$A:$A,data!$A99,info!$B:$B,data!$G99)</f>
        <v>0.15</v>
      </c>
      <c r="L99" s="10">
        <f>SUMIFS(info!F:F,info!$A:$A,data!$A99,info!$B:$B,data!$G99)</f>
        <v>0.9</v>
      </c>
      <c r="M99" s="10">
        <f>IF(SUMIFS(info!$C$25:$C$27,info!$A$25:$A$27,data!A99,info!$B$25:$B$27,data!F99)&lt;=0,1,SUMIFS(info!$C$25:$C$27,info!$A$25:$A$27,data!A99,info!$B$25:$B$27,data!F99))*H99</f>
        <v>1954900.2540000002</v>
      </c>
      <c r="N99" s="10">
        <f t="shared" si="68"/>
        <v>2338986.4499999997</v>
      </c>
      <c r="O99" s="10">
        <f t="shared" si="69"/>
        <v>123104.55</v>
      </c>
      <c r="P99" s="10">
        <f t="shared" si="70"/>
        <v>350847.96749999997</v>
      </c>
      <c r="Q99" s="10">
        <f t="shared" si="71"/>
        <v>2215881.9</v>
      </c>
      <c r="R99" s="10">
        <f t="shared" si="72"/>
        <v>2105087.8049999997</v>
      </c>
      <c r="S99" s="10">
        <f t="shared" si="73"/>
        <v>0</v>
      </c>
      <c r="T99" s="10">
        <f t="shared" si="91"/>
        <v>0</v>
      </c>
      <c r="U99" s="10">
        <f t="shared" si="91"/>
        <v>0</v>
      </c>
      <c r="V99" s="10">
        <f t="shared" si="91"/>
        <v>0</v>
      </c>
      <c r="W99" s="10">
        <f t="shared" si="91"/>
        <v>0</v>
      </c>
      <c r="X99" s="10">
        <f t="shared" si="91"/>
        <v>0</v>
      </c>
      <c r="Y99" s="10">
        <f t="shared" si="91"/>
        <v>1794223.5207945206</v>
      </c>
      <c r="Z99" s="10">
        <f t="shared" si="91"/>
        <v>1301481.5389643838</v>
      </c>
      <c r="AA99" s="10"/>
      <c r="AB99" s="10"/>
      <c r="AC99">
        <f t="shared" si="90"/>
        <v>0</v>
      </c>
      <c r="AD99">
        <f t="shared" si="90"/>
        <v>0</v>
      </c>
      <c r="AE99">
        <f t="shared" si="90"/>
        <v>0</v>
      </c>
      <c r="AF99">
        <f t="shared" si="90"/>
        <v>0</v>
      </c>
      <c r="AG99">
        <f t="shared" si="90"/>
        <v>0</v>
      </c>
      <c r="AH99">
        <f t="shared" si="90"/>
        <v>0</v>
      </c>
      <c r="AI99">
        <f t="shared" si="90"/>
        <v>0</v>
      </c>
      <c r="AJ99">
        <f t="shared" si="90"/>
        <v>0</v>
      </c>
      <c r="AK99">
        <f t="shared" si="90"/>
        <v>0</v>
      </c>
      <c r="AL99">
        <f t="shared" si="90"/>
        <v>0</v>
      </c>
      <c r="AM99">
        <f t="shared" si="90"/>
        <v>0</v>
      </c>
      <c r="AN99">
        <f t="shared" si="90"/>
        <v>0</v>
      </c>
      <c r="AO99">
        <f t="shared" si="90"/>
        <v>0</v>
      </c>
      <c r="AP99">
        <f t="shared" si="90"/>
        <v>0</v>
      </c>
      <c r="AQ99">
        <f t="shared" si="90"/>
        <v>0</v>
      </c>
      <c r="AR99">
        <f t="shared" si="90"/>
        <v>0</v>
      </c>
      <c r="AS99">
        <f t="shared" si="89"/>
        <v>0</v>
      </c>
      <c r="AT99">
        <f t="shared" si="89"/>
        <v>365</v>
      </c>
      <c r="AU99">
        <f t="shared" si="89"/>
        <v>335</v>
      </c>
      <c r="AV99">
        <f t="shared" si="89"/>
        <v>304</v>
      </c>
      <c r="AW99">
        <f t="shared" si="89"/>
        <v>274</v>
      </c>
      <c r="AX99">
        <f t="shared" si="89"/>
        <v>243</v>
      </c>
      <c r="AY99">
        <f t="shared" si="57"/>
        <v>0</v>
      </c>
      <c r="AZ99">
        <f t="shared" si="58"/>
        <v>0</v>
      </c>
      <c r="BA99">
        <f t="shared" si="59"/>
        <v>0</v>
      </c>
      <c r="BB99">
        <f t="shared" si="60"/>
        <v>0</v>
      </c>
      <c r="BC99">
        <f t="shared" si="61"/>
        <v>0</v>
      </c>
      <c r="BD99">
        <f t="shared" si="62"/>
        <v>0</v>
      </c>
      <c r="BE99">
        <f t="shared" si="63"/>
        <v>0</v>
      </c>
      <c r="BF99">
        <f t="shared" si="64"/>
        <v>0</v>
      </c>
      <c r="BG99">
        <f t="shared" si="75"/>
        <v>0</v>
      </c>
      <c r="BH99">
        <f t="shared" si="76"/>
        <v>0</v>
      </c>
      <c r="BI99">
        <f t="shared" si="77"/>
        <v>0</v>
      </c>
      <c r="BJ99">
        <f t="shared" si="78"/>
        <v>0</v>
      </c>
      <c r="BK99">
        <f t="shared" si="79"/>
        <v>0</v>
      </c>
      <c r="BL99">
        <f t="shared" si="80"/>
        <v>0</v>
      </c>
      <c r="BM99">
        <f t="shared" si="81"/>
        <v>0</v>
      </c>
      <c r="BN99">
        <f t="shared" si="82"/>
        <v>0</v>
      </c>
      <c r="BO99">
        <f t="shared" si="83"/>
        <v>0</v>
      </c>
      <c r="BP99">
        <f t="shared" si="84"/>
        <v>365</v>
      </c>
      <c r="BQ99">
        <f t="shared" si="85"/>
        <v>335</v>
      </c>
      <c r="BR99">
        <f t="shared" si="86"/>
        <v>304</v>
      </c>
      <c r="BS99">
        <f t="shared" si="87"/>
        <v>274</v>
      </c>
      <c r="BT99">
        <f t="shared" si="88"/>
        <v>243</v>
      </c>
    </row>
    <row r="100" spans="1:72" ht="12.95" customHeight="1" x14ac:dyDescent="0.2">
      <c r="A100">
        <f t="shared" ref="A100:A163" si="92">YEAR(D100)</f>
        <v>2026</v>
      </c>
      <c r="B100">
        <f t="shared" si="65"/>
        <v>10</v>
      </c>
      <c r="C100">
        <f t="shared" si="66"/>
        <v>4</v>
      </c>
      <c r="D100" s="11">
        <f>prod!A97</f>
        <v>46296</v>
      </c>
      <c r="E100" s="11">
        <f t="shared" si="67"/>
        <v>46660</v>
      </c>
      <c r="F100" s="10" t="str">
        <f>prod!B97</f>
        <v>משאיות חובה</v>
      </c>
      <c r="G100" s="10" t="str">
        <f>prod!C97</f>
        <v>חובה אוטובוסים</v>
      </c>
      <c r="H100" s="10">
        <f>prod!D97</f>
        <v>2698341</v>
      </c>
      <c r="I100" s="10">
        <f>SUMIFS(info!C:C,info!$A:$A,data!$A100,info!$B:$B,data!$G100)</f>
        <v>0.05</v>
      </c>
      <c r="J100" s="10">
        <f>SUMIFS(info!D:D,info!$A:$A,data!$A100,info!$B:$B,data!$G100)</f>
        <v>0.95</v>
      </c>
      <c r="K100" s="10">
        <f>SUMIFS(info!E:E,info!$A:$A,data!$A100,info!$B:$B,data!$G100)</f>
        <v>0.15</v>
      </c>
      <c r="L100" s="10">
        <f>SUMIFS(info!F:F,info!$A:$A,data!$A100,info!$B:$B,data!$G100)</f>
        <v>0.9</v>
      </c>
      <c r="M100" s="10">
        <f>IF(SUMIFS(info!$C$25:$C$27,info!$A$25:$A$27,data!A100,info!$B$25:$B$27,data!F100)&lt;=0,1,SUMIFS(info!$C$25:$C$27,info!$A$25:$A$27,data!A100,info!$B$25:$B$27,data!F100))*H100</f>
        <v>2142482.7540000002</v>
      </c>
      <c r="N100" s="10">
        <f t="shared" si="68"/>
        <v>2563423.9499999997</v>
      </c>
      <c r="O100" s="10">
        <f t="shared" si="69"/>
        <v>134917.05000000002</v>
      </c>
      <c r="P100" s="10">
        <f t="shared" si="70"/>
        <v>384513.59249999997</v>
      </c>
      <c r="Q100" s="10">
        <f t="shared" si="71"/>
        <v>2428506.9</v>
      </c>
      <c r="R100" s="10">
        <f t="shared" si="72"/>
        <v>2307081.5549999997</v>
      </c>
      <c r="S100" s="10">
        <f t="shared" si="73"/>
        <v>0</v>
      </c>
      <c r="T100" s="10">
        <f t="shared" si="91"/>
        <v>0</v>
      </c>
      <c r="U100" s="10">
        <f t="shared" si="91"/>
        <v>0</v>
      </c>
      <c r="V100" s="10">
        <f t="shared" si="91"/>
        <v>0</v>
      </c>
      <c r="W100" s="10">
        <f t="shared" si="91"/>
        <v>0</v>
      </c>
      <c r="X100" s="10">
        <f t="shared" si="91"/>
        <v>0</v>
      </c>
      <c r="Y100" s="10">
        <f t="shared" si="91"/>
        <v>0</v>
      </c>
      <c r="Z100" s="10">
        <f t="shared" si="91"/>
        <v>1602459.7036767122</v>
      </c>
      <c r="AA100" s="10"/>
      <c r="AB100" s="10"/>
      <c r="AC100">
        <f t="shared" si="90"/>
        <v>0</v>
      </c>
      <c r="AD100">
        <f t="shared" si="90"/>
        <v>0</v>
      </c>
      <c r="AE100">
        <f t="shared" si="90"/>
        <v>0</v>
      </c>
      <c r="AF100">
        <f t="shared" si="90"/>
        <v>0</v>
      </c>
      <c r="AG100">
        <f t="shared" si="90"/>
        <v>0</v>
      </c>
      <c r="AH100">
        <f t="shared" si="90"/>
        <v>0</v>
      </c>
      <c r="AI100">
        <f t="shared" si="90"/>
        <v>0</v>
      </c>
      <c r="AJ100">
        <f t="shared" si="90"/>
        <v>0</v>
      </c>
      <c r="AK100">
        <f t="shared" si="90"/>
        <v>0</v>
      </c>
      <c r="AL100">
        <f t="shared" si="90"/>
        <v>0</v>
      </c>
      <c r="AM100">
        <f t="shared" si="90"/>
        <v>0</v>
      </c>
      <c r="AN100">
        <f t="shared" si="90"/>
        <v>0</v>
      </c>
      <c r="AO100">
        <f t="shared" si="90"/>
        <v>0</v>
      </c>
      <c r="AP100">
        <f t="shared" si="90"/>
        <v>0</v>
      </c>
      <c r="AQ100">
        <f t="shared" si="90"/>
        <v>0</v>
      </c>
      <c r="AR100">
        <f t="shared" si="90"/>
        <v>0</v>
      </c>
      <c r="AS100">
        <f t="shared" si="89"/>
        <v>0</v>
      </c>
      <c r="AT100">
        <f t="shared" si="89"/>
        <v>0</v>
      </c>
      <c r="AU100">
        <f t="shared" si="89"/>
        <v>365</v>
      </c>
      <c r="AV100">
        <f t="shared" si="89"/>
        <v>334</v>
      </c>
      <c r="AW100">
        <f t="shared" si="89"/>
        <v>304</v>
      </c>
      <c r="AX100">
        <f t="shared" si="89"/>
        <v>273</v>
      </c>
      <c r="AY100">
        <f t="shared" si="57"/>
        <v>0</v>
      </c>
      <c r="AZ100">
        <f t="shared" si="58"/>
        <v>0</v>
      </c>
      <c r="BA100">
        <f t="shared" si="59"/>
        <v>0</v>
      </c>
      <c r="BB100">
        <f t="shared" si="60"/>
        <v>0</v>
      </c>
      <c r="BC100">
        <f t="shared" si="61"/>
        <v>0</v>
      </c>
      <c r="BD100">
        <f t="shared" si="62"/>
        <v>0</v>
      </c>
      <c r="BE100">
        <f t="shared" si="63"/>
        <v>0</v>
      </c>
      <c r="BF100">
        <f t="shared" si="64"/>
        <v>0</v>
      </c>
      <c r="BG100">
        <f t="shared" si="75"/>
        <v>0</v>
      </c>
      <c r="BH100">
        <f t="shared" si="76"/>
        <v>0</v>
      </c>
      <c r="BI100">
        <f t="shared" si="77"/>
        <v>0</v>
      </c>
      <c r="BJ100">
        <f t="shared" si="78"/>
        <v>0</v>
      </c>
      <c r="BK100">
        <f t="shared" si="79"/>
        <v>0</v>
      </c>
      <c r="BL100">
        <f t="shared" si="80"/>
        <v>0</v>
      </c>
      <c r="BM100">
        <f t="shared" si="81"/>
        <v>0</v>
      </c>
      <c r="BN100">
        <f t="shared" si="82"/>
        <v>0</v>
      </c>
      <c r="BO100">
        <f t="shared" si="83"/>
        <v>0</v>
      </c>
      <c r="BP100">
        <f t="shared" si="84"/>
        <v>0</v>
      </c>
      <c r="BQ100">
        <f t="shared" si="85"/>
        <v>365</v>
      </c>
      <c r="BR100">
        <f t="shared" si="86"/>
        <v>334</v>
      </c>
      <c r="BS100">
        <f t="shared" si="87"/>
        <v>304</v>
      </c>
      <c r="BT100">
        <f t="shared" si="88"/>
        <v>273</v>
      </c>
    </row>
    <row r="101" spans="1:72" ht="12.95" customHeight="1" x14ac:dyDescent="0.2">
      <c r="A101">
        <f t="shared" si="92"/>
        <v>2026</v>
      </c>
      <c r="B101">
        <f t="shared" si="65"/>
        <v>11</v>
      </c>
      <c r="C101">
        <f t="shared" si="66"/>
        <v>4</v>
      </c>
      <c r="D101" s="11">
        <f>prod!A98</f>
        <v>46327</v>
      </c>
      <c r="E101" s="11">
        <f t="shared" si="67"/>
        <v>46691</v>
      </c>
      <c r="F101" s="10" t="str">
        <f>prod!B98</f>
        <v>משאיות חובה</v>
      </c>
      <c r="G101" s="10" t="str">
        <f>prod!C98</f>
        <v>חובה אוטובוסים</v>
      </c>
      <c r="H101" s="10">
        <f>prod!D98</f>
        <v>3071091</v>
      </c>
      <c r="I101" s="10">
        <f>SUMIFS(info!C:C,info!$A:$A,data!$A101,info!$B:$B,data!$G101)</f>
        <v>0.05</v>
      </c>
      <c r="J101" s="10">
        <f>SUMIFS(info!D:D,info!$A:$A,data!$A101,info!$B:$B,data!$G101)</f>
        <v>0.95</v>
      </c>
      <c r="K101" s="10">
        <f>SUMIFS(info!E:E,info!$A:$A,data!$A101,info!$B:$B,data!$G101)</f>
        <v>0.15</v>
      </c>
      <c r="L101" s="10">
        <f>SUMIFS(info!F:F,info!$A:$A,data!$A101,info!$B:$B,data!$G101)</f>
        <v>0.9</v>
      </c>
      <c r="M101" s="10">
        <f>IF(SUMIFS(info!$C$25:$C$27,info!$A$25:$A$27,data!A101,info!$B$25:$B$27,data!F101)&lt;=0,1,SUMIFS(info!$C$25:$C$27,info!$A$25:$A$27,data!A101,info!$B$25:$B$27,data!F101))*H101</f>
        <v>2438446.2540000002</v>
      </c>
      <c r="N101" s="10">
        <f t="shared" si="68"/>
        <v>2917536.4499999997</v>
      </c>
      <c r="O101" s="10">
        <f t="shared" si="69"/>
        <v>153554.55000000002</v>
      </c>
      <c r="P101" s="10">
        <f t="shared" si="70"/>
        <v>437630.46749999997</v>
      </c>
      <c r="Q101" s="10">
        <f t="shared" si="71"/>
        <v>2763981.9</v>
      </c>
      <c r="R101" s="10">
        <f t="shared" si="72"/>
        <v>2625782.8049999997</v>
      </c>
      <c r="S101" s="10">
        <f t="shared" si="73"/>
        <v>0</v>
      </c>
      <c r="T101" s="10">
        <f t="shared" si="91"/>
        <v>0</v>
      </c>
      <c r="U101" s="10">
        <f t="shared" si="91"/>
        <v>0</v>
      </c>
      <c r="V101" s="10">
        <f t="shared" si="91"/>
        <v>0</v>
      </c>
      <c r="W101" s="10">
        <f t="shared" si="91"/>
        <v>0</v>
      </c>
      <c r="X101" s="10">
        <f t="shared" si="91"/>
        <v>0</v>
      </c>
      <c r="Y101" s="10">
        <f t="shared" si="91"/>
        <v>0</v>
      </c>
      <c r="Z101" s="10">
        <f t="shared" si="91"/>
        <v>2030925.099221918</v>
      </c>
      <c r="AA101" s="10"/>
      <c r="AB101" s="10"/>
      <c r="AC101">
        <f t="shared" si="90"/>
        <v>0</v>
      </c>
      <c r="AD101">
        <f t="shared" si="90"/>
        <v>0</v>
      </c>
      <c r="AE101">
        <f t="shared" si="90"/>
        <v>0</v>
      </c>
      <c r="AF101">
        <f t="shared" si="90"/>
        <v>0</v>
      </c>
      <c r="AG101">
        <f t="shared" si="90"/>
        <v>0</v>
      </c>
      <c r="AH101">
        <f t="shared" si="90"/>
        <v>0</v>
      </c>
      <c r="AI101">
        <f t="shared" si="90"/>
        <v>0</v>
      </c>
      <c r="AJ101">
        <f t="shared" si="90"/>
        <v>0</v>
      </c>
      <c r="AK101">
        <f t="shared" si="90"/>
        <v>0</v>
      </c>
      <c r="AL101">
        <f t="shared" si="90"/>
        <v>0</v>
      </c>
      <c r="AM101">
        <f t="shared" si="90"/>
        <v>0</v>
      </c>
      <c r="AN101">
        <f t="shared" si="90"/>
        <v>0</v>
      </c>
      <c r="AO101">
        <f t="shared" si="90"/>
        <v>0</v>
      </c>
      <c r="AP101">
        <f t="shared" si="90"/>
        <v>0</v>
      </c>
      <c r="AQ101">
        <f t="shared" si="90"/>
        <v>0</v>
      </c>
      <c r="AR101">
        <f t="shared" ref="AR101:AX116" si="93">IF(($E101-AR$4)&gt;365,0,($E101-AR$4))</f>
        <v>0</v>
      </c>
      <c r="AS101">
        <f t="shared" si="93"/>
        <v>0</v>
      </c>
      <c r="AT101">
        <f t="shared" si="93"/>
        <v>0</v>
      </c>
      <c r="AU101">
        <f t="shared" si="93"/>
        <v>0</v>
      </c>
      <c r="AV101">
        <f t="shared" si="93"/>
        <v>365</v>
      </c>
      <c r="AW101">
        <f t="shared" si="93"/>
        <v>335</v>
      </c>
      <c r="AX101">
        <f t="shared" si="93"/>
        <v>304</v>
      </c>
      <c r="AY101">
        <f t="shared" ref="AY101:AY130" si="94">IF(AC101&lt;0,0,AC101)</f>
        <v>0</v>
      </c>
      <c r="AZ101">
        <f t="shared" ref="AZ101:AZ130" si="95">IF(AD101&lt;0,0,AD101)</f>
        <v>0</v>
      </c>
      <c r="BA101">
        <f t="shared" ref="BA101:BA130" si="96">IF(AE101&lt;0,0,AE101)</f>
        <v>0</v>
      </c>
      <c r="BB101">
        <f t="shared" ref="BB101:BB130" si="97">IF(AF101&lt;0,0,AF101)</f>
        <v>0</v>
      </c>
      <c r="BC101">
        <f t="shared" ref="BC101:BC130" si="98">IF(AG101&lt;0,0,AG101)</f>
        <v>0</v>
      </c>
      <c r="BD101">
        <f t="shared" ref="BD101:BD130" si="99">IF(AH101&lt;0,0,AH101)</f>
        <v>0</v>
      </c>
      <c r="BE101">
        <f t="shared" ref="BE101:BE130" si="100">IF(AI101&lt;0,0,AI101)</f>
        <v>0</v>
      </c>
      <c r="BF101">
        <f t="shared" ref="BF101:BF130" si="101">IF(AJ101&lt;0,0,AJ101)</f>
        <v>0</v>
      </c>
      <c r="BG101">
        <f t="shared" si="75"/>
        <v>0</v>
      </c>
      <c r="BH101">
        <f t="shared" si="76"/>
        <v>0</v>
      </c>
      <c r="BI101">
        <f t="shared" si="77"/>
        <v>0</v>
      </c>
      <c r="BJ101">
        <f t="shared" si="78"/>
        <v>0</v>
      </c>
      <c r="BK101">
        <f t="shared" si="79"/>
        <v>0</v>
      </c>
      <c r="BL101">
        <f t="shared" si="80"/>
        <v>0</v>
      </c>
      <c r="BM101">
        <f t="shared" si="81"/>
        <v>0</v>
      </c>
      <c r="BN101">
        <f t="shared" si="82"/>
        <v>0</v>
      </c>
      <c r="BO101">
        <f t="shared" si="83"/>
        <v>0</v>
      </c>
      <c r="BP101">
        <f t="shared" si="84"/>
        <v>0</v>
      </c>
      <c r="BQ101">
        <f t="shared" si="85"/>
        <v>0</v>
      </c>
      <c r="BR101">
        <f t="shared" si="86"/>
        <v>365</v>
      </c>
      <c r="BS101">
        <f t="shared" si="87"/>
        <v>335</v>
      </c>
      <c r="BT101">
        <f t="shared" si="88"/>
        <v>304</v>
      </c>
    </row>
    <row r="102" spans="1:72" ht="12.95" customHeight="1" x14ac:dyDescent="0.2">
      <c r="A102">
        <f t="shared" si="92"/>
        <v>2026</v>
      </c>
      <c r="B102">
        <f t="shared" si="65"/>
        <v>12</v>
      </c>
      <c r="C102">
        <f t="shared" si="66"/>
        <v>4</v>
      </c>
      <c r="D102" s="11">
        <f>prod!A99</f>
        <v>46357</v>
      </c>
      <c r="E102" s="11">
        <f t="shared" si="67"/>
        <v>46721</v>
      </c>
      <c r="F102" s="10" t="str">
        <f>prod!B99</f>
        <v>משאיות חובה</v>
      </c>
      <c r="G102" s="10" t="str">
        <f>prod!C99</f>
        <v>חובה אוטובוסים</v>
      </c>
      <c r="H102" s="10">
        <f>prod!D99</f>
        <v>6977091</v>
      </c>
      <c r="I102" s="10">
        <f>SUMIFS(info!C:C,info!$A:$A,data!$A102,info!$B:$B,data!$G102)</f>
        <v>0.05</v>
      </c>
      <c r="J102" s="10">
        <f>SUMIFS(info!D:D,info!$A:$A,data!$A102,info!$B:$B,data!$G102)</f>
        <v>0.95</v>
      </c>
      <c r="K102" s="10">
        <f>SUMIFS(info!E:E,info!$A:$A,data!$A102,info!$B:$B,data!$G102)</f>
        <v>0.15</v>
      </c>
      <c r="L102" s="10">
        <f>SUMIFS(info!F:F,info!$A:$A,data!$A102,info!$B:$B,data!$G102)</f>
        <v>0.9</v>
      </c>
      <c r="M102" s="10">
        <f>IF(SUMIFS(info!$C$25:$C$27,info!$A$25:$A$27,data!A102,info!$B$25:$B$27,data!F102)&lt;=0,1,SUMIFS(info!$C$25:$C$27,info!$A$25:$A$27,data!A102,info!$B$25:$B$27,data!F102))*H102</f>
        <v>5539810.2540000007</v>
      </c>
      <c r="N102" s="10">
        <f t="shared" si="68"/>
        <v>6628236.4499999993</v>
      </c>
      <c r="O102" s="10">
        <f t="shared" si="69"/>
        <v>348854.55000000005</v>
      </c>
      <c r="P102" s="10">
        <f t="shared" si="70"/>
        <v>994235.4674999998</v>
      </c>
      <c r="Q102" s="10">
        <f t="shared" si="71"/>
        <v>6279381.9000000004</v>
      </c>
      <c r="R102" s="10">
        <f t="shared" si="72"/>
        <v>5965412.8049999997</v>
      </c>
      <c r="S102" s="10">
        <f t="shared" si="73"/>
        <v>0</v>
      </c>
      <c r="T102" s="10">
        <f t="shared" si="91"/>
        <v>0</v>
      </c>
      <c r="U102" s="10">
        <f t="shared" si="91"/>
        <v>0</v>
      </c>
      <c r="V102" s="10">
        <f t="shared" si="91"/>
        <v>0</v>
      </c>
      <c r="W102" s="10">
        <f t="shared" si="91"/>
        <v>0</v>
      </c>
      <c r="X102" s="10">
        <f t="shared" si="91"/>
        <v>0</v>
      </c>
      <c r="Y102" s="10">
        <f t="shared" si="91"/>
        <v>0</v>
      </c>
      <c r="Z102" s="10">
        <f t="shared" si="91"/>
        <v>5069305.8214684939</v>
      </c>
      <c r="AA102" s="10"/>
      <c r="AB102" s="10"/>
      <c r="AC102">
        <f t="shared" ref="AC102:AR117" si="102">IF(($E102-AC$4)&gt;365,0,($E102-AC$4))</f>
        <v>0</v>
      </c>
      <c r="AD102">
        <f t="shared" si="102"/>
        <v>0</v>
      </c>
      <c r="AE102">
        <f t="shared" si="102"/>
        <v>0</v>
      </c>
      <c r="AF102">
        <f t="shared" si="102"/>
        <v>0</v>
      </c>
      <c r="AG102">
        <f t="shared" si="102"/>
        <v>0</v>
      </c>
      <c r="AH102">
        <f t="shared" si="102"/>
        <v>0</v>
      </c>
      <c r="AI102">
        <f t="shared" si="102"/>
        <v>0</v>
      </c>
      <c r="AJ102">
        <f t="shared" si="102"/>
        <v>0</v>
      </c>
      <c r="AK102">
        <f t="shared" si="102"/>
        <v>0</v>
      </c>
      <c r="AL102">
        <f t="shared" si="102"/>
        <v>0</v>
      </c>
      <c r="AM102">
        <f t="shared" si="102"/>
        <v>0</v>
      </c>
      <c r="AN102">
        <f t="shared" si="102"/>
        <v>0</v>
      </c>
      <c r="AO102">
        <f t="shared" si="102"/>
        <v>0</v>
      </c>
      <c r="AP102">
        <f t="shared" si="102"/>
        <v>0</v>
      </c>
      <c r="AQ102">
        <f t="shared" si="102"/>
        <v>0</v>
      </c>
      <c r="AR102">
        <f t="shared" si="93"/>
        <v>0</v>
      </c>
      <c r="AS102">
        <f t="shared" si="93"/>
        <v>0</v>
      </c>
      <c r="AT102">
        <f t="shared" si="93"/>
        <v>0</v>
      </c>
      <c r="AU102">
        <f t="shared" si="93"/>
        <v>0</v>
      </c>
      <c r="AV102">
        <f t="shared" si="93"/>
        <v>0</v>
      </c>
      <c r="AW102">
        <f t="shared" si="93"/>
        <v>365</v>
      </c>
      <c r="AX102">
        <f t="shared" si="93"/>
        <v>334</v>
      </c>
      <c r="AY102">
        <f t="shared" si="94"/>
        <v>0</v>
      </c>
      <c r="AZ102">
        <f t="shared" si="95"/>
        <v>0</v>
      </c>
      <c r="BA102">
        <f t="shared" si="96"/>
        <v>0</v>
      </c>
      <c r="BB102">
        <f t="shared" si="97"/>
        <v>0</v>
      </c>
      <c r="BC102">
        <f t="shared" si="98"/>
        <v>0</v>
      </c>
      <c r="BD102">
        <f t="shared" si="99"/>
        <v>0</v>
      </c>
      <c r="BE102">
        <f t="shared" si="100"/>
        <v>0</v>
      </c>
      <c r="BF102">
        <f t="shared" si="101"/>
        <v>0</v>
      </c>
      <c r="BG102">
        <f t="shared" si="75"/>
        <v>0</v>
      </c>
      <c r="BH102">
        <f t="shared" si="76"/>
        <v>0</v>
      </c>
      <c r="BI102">
        <f t="shared" si="77"/>
        <v>0</v>
      </c>
      <c r="BJ102">
        <f t="shared" si="78"/>
        <v>0</v>
      </c>
      <c r="BK102">
        <f t="shared" si="79"/>
        <v>0</v>
      </c>
      <c r="BL102">
        <f t="shared" si="80"/>
        <v>0</v>
      </c>
      <c r="BM102">
        <f t="shared" si="81"/>
        <v>0</v>
      </c>
      <c r="BN102">
        <f t="shared" si="82"/>
        <v>0</v>
      </c>
      <c r="BO102">
        <f t="shared" si="83"/>
        <v>0</v>
      </c>
      <c r="BP102">
        <f t="shared" si="84"/>
        <v>0</v>
      </c>
      <c r="BQ102">
        <f t="shared" si="85"/>
        <v>0</v>
      </c>
      <c r="BR102">
        <f t="shared" si="86"/>
        <v>0</v>
      </c>
      <c r="BS102">
        <f t="shared" si="87"/>
        <v>365</v>
      </c>
      <c r="BT102">
        <f t="shared" si="88"/>
        <v>334</v>
      </c>
    </row>
    <row r="103" spans="1:72" ht="12.95" customHeight="1" x14ac:dyDescent="0.2">
      <c r="A103">
        <f t="shared" si="92"/>
        <v>2025</v>
      </c>
      <c r="B103">
        <f t="shared" si="65"/>
        <v>9</v>
      </c>
      <c r="C103">
        <f t="shared" si="66"/>
        <v>3</v>
      </c>
      <c r="D103" s="11">
        <f>prod!A100</f>
        <v>45901</v>
      </c>
      <c r="E103" s="11">
        <f t="shared" si="67"/>
        <v>46265</v>
      </c>
      <c r="F103" s="10" t="str">
        <f>prod!B100</f>
        <v>משאיות רכוש</v>
      </c>
      <c r="G103" s="10" t="str">
        <f>prod!C100</f>
        <v xml:space="preserve">קסקו משאיות  </v>
      </c>
      <c r="H103" s="10">
        <f>prod!D100</f>
        <v>1059719</v>
      </c>
      <c r="I103" s="10">
        <f>SUMIFS(info!C:C,info!$A:$A,data!$A103,info!$B:$B,data!$G103)</f>
        <v>0.11</v>
      </c>
      <c r="J103" s="10">
        <f>SUMIFS(info!D:D,info!$A:$A,data!$A103,info!$B:$B,data!$G103)</f>
        <v>0.95</v>
      </c>
      <c r="K103" s="10">
        <f>SUMIFS(info!E:E,info!$A:$A,data!$A103,info!$B:$B,data!$G103)</f>
        <v>0.22</v>
      </c>
      <c r="L103" s="10">
        <f>SUMIFS(info!F:F,info!$A:$A,data!$A103,info!$B:$B,data!$G103)</f>
        <v>0.7</v>
      </c>
      <c r="M103" s="10">
        <f>IF(SUMIFS(info!$C$25:$C$27,info!$A$25:$A$27,data!A103,info!$B$25:$B$27,data!F103)&lt;=0,1,SUMIFS(info!$C$25:$C$27,info!$A$25:$A$27,data!A103,info!$B$25:$B$27,data!F103))*H103</f>
        <v>1059719</v>
      </c>
      <c r="N103" s="10">
        <f t="shared" si="68"/>
        <v>1006733.0499999999</v>
      </c>
      <c r="O103" s="10">
        <f t="shared" si="69"/>
        <v>116569.09</v>
      </c>
      <c r="P103" s="10">
        <f t="shared" si="70"/>
        <v>221481.27099999998</v>
      </c>
      <c r="Q103" s="10">
        <f t="shared" si="71"/>
        <v>741803.29999999993</v>
      </c>
      <c r="R103" s="10">
        <f t="shared" si="72"/>
        <v>704713.13499999989</v>
      </c>
      <c r="S103" s="10">
        <f t="shared" si="73"/>
        <v>0</v>
      </c>
      <c r="T103" s="10">
        <f t="shared" si="91"/>
        <v>0</v>
      </c>
      <c r="U103" s="10">
        <f t="shared" si="91"/>
        <v>972618.80821917811</v>
      </c>
      <c r="V103" s="10">
        <f t="shared" si="91"/>
        <v>705511.55342465756</v>
      </c>
      <c r="W103" s="10">
        <f t="shared" si="91"/>
        <v>444210.97808219178</v>
      </c>
      <c r="X103" s="10">
        <f t="shared" si="91"/>
        <v>180007.06301369864</v>
      </c>
      <c r="Y103" s="10">
        <f t="shared" si="91"/>
        <v>0</v>
      </c>
      <c r="Z103" s="10">
        <f t="shared" si="91"/>
        <v>0</v>
      </c>
      <c r="AA103" s="10"/>
      <c r="AB103" s="10"/>
      <c r="AC103">
        <f t="shared" si="102"/>
        <v>0</v>
      </c>
      <c r="AD103">
        <f t="shared" si="102"/>
        <v>0</v>
      </c>
      <c r="AE103">
        <f t="shared" si="102"/>
        <v>0</v>
      </c>
      <c r="AF103">
        <f t="shared" si="102"/>
        <v>0</v>
      </c>
      <c r="AG103">
        <f t="shared" si="102"/>
        <v>0</v>
      </c>
      <c r="AH103">
        <f t="shared" si="102"/>
        <v>365</v>
      </c>
      <c r="AI103">
        <f t="shared" si="102"/>
        <v>335</v>
      </c>
      <c r="AJ103">
        <f t="shared" si="102"/>
        <v>304</v>
      </c>
      <c r="AK103">
        <f t="shared" si="102"/>
        <v>274</v>
      </c>
      <c r="AL103">
        <f t="shared" si="102"/>
        <v>243</v>
      </c>
      <c r="AM103">
        <f t="shared" si="102"/>
        <v>212</v>
      </c>
      <c r="AN103">
        <f t="shared" si="102"/>
        <v>184</v>
      </c>
      <c r="AO103">
        <f t="shared" si="102"/>
        <v>153</v>
      </c>
      <c r="AP103">
        <f t="shared" si="102"/>
        <v>123</v>
      </c>
      <c r="AQ103">
        <f t="shared" si="102"/>
        <v>92</v>
      </c>
      <c r="AR103">
        <f t="shared" si="93"/>
        <v>62</v>
      </c>
      <c r="AS103">
        <f t="shared" si="93"/>
        <v>31</v>
      </c>
      <c r="AT103">
        <f t="shared" si="93"/>
        <v>0</v>
      </c>
      <c r="AU103">
        <f t="shared" si="93"/>
        <v>-30</v>
      </c>
      <c r="AV103">
        <f t="shared" si="93"/>
        <v>-61</v>
      </c>
      <c r="AW103">
        <f t="shared" si="93"/>
        <v>-91</v>
      </c>
      <c r="AX103">
        <f t="shared" si="93"/>
        <v>-122</v>
      </c>
      <c r="AY103">
        <f t="shared" si="94"/>
        <v>0</v>
      </c>
      <c r="AZ103">
        <f t="shared" si="95"/>
        <v>0</v>
      </c>
      <c r="BA103">
        <f t="shared" si="96"/>
        <v>0</v>
      </c>
      <c r="BB103">
        <f t="shared" si="97"/>
        <v>0</v>
      </c>
      <c r="BC103">
        <f t="shared" si="98"/>
        <v>0</v>
      </c>
      <c r="BD103">
        <f t="shared" si="99"/>
        <v>365</v>
      </c>
      <c r="BE103">
        <f t="shared" si="100"/>
        <v>335</v>
      </c>
      <c r="BF103">
        <f t="shared" si="101"/>
        <v>304</v>
      </c>
      <c r="BG103">
        <f t="shared" si="75"/>
        <v>274</v>
      </c>
      <c r="BH103">
        <f t="shared" si="76"/>
        <v>243</v>
      </c>
      <c r="BI103">
        <f t="shared" si="77"/>
        <v>212</v>
      </c>
      <c r="BJ103">
        <f t="shared" si="78"/>
        <v>184</v>
      </c>
      <c r="BK103">
        <f t="shared" si="79"/>
        <v>153</v>
      </c>
      <c r="BL103">
        <f t="shared" si="80"/>
        <v>123</v>
      </c>
      <c r="BM103">
        <f t="shared" si="81"/>
        <v>92</v>
      </c>
      <c r="BN103">
        <f t="shared" si="82"/>
        <v>62</v>
      </c>
      <c r="BO103">
        <f t="shared" si="83"/>
        <v>31</v>
      </c>
      <c r="BP103">
        <f t="shared" si="84"/>
        <v>0</v>
      </c>
      <c r="BQ103">
        <f t="shared" si="85"/>
        <v>0</v>
      </c>
      <c r="BR103">
        <f t="shared" si="86"/>
        <v>0</v>
      </c>
      <c r="BS103">
        <f t="shared" si="87"/>
        <v>0</v>
      </c>
      <c r="BT103">
        <f t="shared" si="88"/>
        <v>0</v>
      </c>
    </row>
    <row r="104" spans="1:72" ht="12.95" customHeight="1" x14ac:dyDescent="0.2">
      <c r="A104">
        <f t="shared" si="92"/>
        <v>2025</v>
      </c>
      <c r="B104">
        <f t="shared" si="65"/>
        <v>10</v>
      </c>
      <c r="C104">
        <f t="shared" si="66"/>
        <v>4</v>
      </c>
      <c r="D104" s="11">
        <f>prod!A101</f>
        <v>45931</v>
      </c>
      <c r="E104" s="11">
        <f t="shared" si="67"/>
        <v>46295</v>
      </c>
      <c r="F104" s="10" t="str">
        <f>prod!B101</f>
        <v>משאיות רכוש</v>
      </c>
      <c r="G104" s="10" t="str">
        <f>prod!C101</f>
        <v xml:space="preserve">קסקו משאיות  </v>
      </c>
      <c r="H104" s="10">
        <f>prod!D101</f>
        <v>573970</v>
      </c>
      <c r="I104" s="10">
        <f>SUMIFS(info!C:C,info!$A:$A,data!$A104,info!$B:$B,data!$G104)</f>
        <v>0.11</v>
      </c>
      <c r="J104" s="10">
        <f>SUMIFS(info!D:D,info!$A:$A,data!$A104,info!$B:$B,data!$G104)</f>
        <v>0.95</v>
      </c>
      <c r="K104" s="10">
        <f>SUMIFS(info!E:E,info!$A:$A,data!$A104,info!$B:$B,data!$G104)</f>
        <v>0.22</v>
      </c>
      <c r="L104" s="10">
        <f>SUMIFS(info!F:F,info!$A:$A,data!$A104,info!$B:$B,data!$G104)</f>
        <v>0.7</v>
      </c>
      <c r="M104" s="10">
        <f>IF(SUMIFS(info!$C$25:$C$27,info!$A$25:$A$27,data!A104,info!$B$25:$B$27,data!F104)&lt;=0,1,SUMIFS(info!$C$25:$C$27,info!$A$25:$A$27,data!A104,info!$B$25:$B$27,data!F104))*H104</f>
        <v>573970</v>
      </c>
      <c r="N104" s="10">
        <f t="shared" si="68"/>
        <v>545271.5</v>
      </c>
      <c r="O104" s="10">
        <f t="shared" si="69"/>
        <v>63136.7</v>
      </c>
      <c r="P104" s="10">
        <f t="shared" si="70"/>
        <v>119959.73</v>
      </c>
      <c r="Q104" s="10">
        <f t="shared" si="71"/>
        <v>401779</v>
      </c>
      <c r="R104" s="10">
        <f t="shared" si="72"/>
        <v>381690.05</v>
      </c>
      <c r="S104" s="10">
        <f t="shared" si="73"/>
        <v>0</v>
      </c>
      <c r="T104" s="10">
        <f t="shared" si="91"/>
        <v>0</v>
      </c>
      <c r="U104" s="10">
        <f t="shared" si="91"/>
        <v>0</v>
      </c>
      <c r="V104" s="10">
        <f t="shared" si="91"/>
        <v>429298.10958904109</v>
      </c>
      <c r="W104" s="10">
        <f t="shared" si="91"/>
        <v>287771.26027397258</v>
      </c>
      <c r="X104" s="10">
        <f t="shared" si="91"/>
        <v>144671.89041095891</v>
      </c>
      <c r="Y104" s="10">
        <f t="shared" si="91"/>
        <v>0</v>
      </c>
      <c r="Z104" s="10">
        <f t="shared" si="91"/>
        <v>0</v>
      </c>
      <c r="AA104" s="10"/>
      <c r="AB104" s="10"/>
      <c r="AC104">
        <f t="shared" si="102"/>
        <v>0</v>
      </c>
      <c r="AD104">
        <f t="shared" si="102"/>
        <v>0</v>
      </c>
      <c r="AE104">
        <f t="shared" si="102"/>
        <v>0</v>
      </c>
      <c r="AF104">
        <f t="shared" si="102"/>
        <v>0</v>
      </c>
      <c r="AG104">
        <f t="shared" si="102"/>
        <v>0</v>
      </c>
      <c r="AH104">
        <f t="shared" si="102"/>
        <v>0</v>
      </c>
      <c r="AI104">
        <f t="shared" si="102"/>
        <v>365</v>
      </c>
      <c r="AJ104">
        <f t="shared" si="102"/>
        <v>334</v>
      </c>
      <c r="AK104">
        <f t="shared" si="102"/>
        <v>304</v>
      </c>
      <c r="AL104">
        <f t="shared" si="102"/>
        <v>273</v>
      </c>
      <c r="AM104">
        <f t="shared" si="102"/>
        <v>242</v>
      </c>
      <c r="AN104">
        <f t="shared" si="102"/>
        <v>214</v>
      </c>
      <c r="AO104">
        <f t="shared" si="102"/>
        <v>183</v>
      </c>
      <c r="AP104">
        <f t="shared" si="102"/>
        <v>153</v>
      </c>
      <c r="AQ104">
        <f t="shared" si="102"/>
        <v>122</v>
      </c>
      <c r="AR104">
        <f t="shared" si="93"/>
        <v>92</v>
      </c>
      <c r="AS104">
        <f t="shared" si="93"/>
        <v>61</v>
      </c>
      <c r="AT104">
        <f t="shared" si="93"/>
        <v>30</v>
      </c>
      <c r="AU104">
        <f t="shared" si="93"/>
        <v>0</v>
      </c>
      <c r="AV104">
        <f t="shared" si="93"/>
        <v>-31</v>
      </c>
      <c r="AW104">
        <f t="shared" si="93"/>
        <v>-61</v>
      </c>
      <c r="AX104">
        <f t="shared" si="93"/>
        <v>-92</v>
      </c>
      <c r="AY104">
        <f t="shared" si="94"/>
        <v>0</v>
      </c>
      <c r="AZ104">
        <f t="shared" si="95"/>
        <v>0</v>
      </c>
      <c r="BA104">
        <f t="shared" si="96"/>
        <v>0</v>
      </c>
      <c r="BB104">
        <f t="shared" si="97"/>
        <v>0</v>
      </c>
      <c r="BC104">
        <f t="shared" si="98"/>
        <v>0</v>
      </c>
      <c r="BD104">
        <f t="shared" si="99"/>
        <v>0</v>
      </c>
      <c r="BE104">
        <f t="shared" si="100"/>
        <v>365</v>
      </c>
      <c r="BF104">
        <f t="shared" si="101"/>
        <v>334</v>
      </c>
      <c r="BG104">
        <f t="shared" si="75"/>
        <v>304</v>
      </c>
      <c r="BH104">
        <f t="shared" si="76"/>
        <v>273</v>
      </c>
      <c r="BI104">
        <f t="shared" si="77"/>
        <v>242</v>
      </c>
      <c r="BJ104">
        <f t="shared" si="78"/>
        <v>214</v>
      </c>
      <c r="BK104">
        <f t="shared" si="79"/>
        <v>183</v>
      </c>
      <c r="BL104">
        <f t="shared" si="80"/>
        <v>153</v>
      </c>
      <c r="BM104">
        <f t="shared" si="81"/>
        <v>122</v>
      </c>
      <c r="BN104">
        <f t="shared" si="82"/>
        <v>92</v>
      </c>
      <c r="BO104">
        <f t="shared" si="83"/>
        <v>61</v>
      </c>
      <c r="BP104">
        <f t="shared" si="84"/>
        <v>30</v>
      </c>
      <c r="BQ104">
        <f t="shared" si="85"/>
        <v>0</v>
      </c>
      <c r="BR104">
        <f t="shared" si="86"/>
        <v>0</v>
      </c>
      <c r="BS104">
        <f t="shared" si="87"/>
        <v>0</v>
      </c>
      <c r="BT104">
        <f t="shared" si="88"/>
        <v>0</v>
      </c>
    </row>
    <row r="105" spans="1:72" ht="12.95" customHeight="1" x14ac:dyDescent="0.2">
      <c r="A105">
        <f t="shared" si="92"/>
        <v>2025</v>
      </c>
      <c r="B105">
        <f t="shared" si="65"/>
        <v>11</v>
      </c>
      <c r="C105">
        <f t="shared" si="66"/>
        <v>4</v>
      </c>
      <c r="D105" s="11">
        <f>prod!A102</f>
        <v>45962</v>
      </c>
      <c r="E105" s="11">
        <f t="shared" si="67"/>
        <v>46326</v>
      </c>
      <c r="F105" s="10" t="str">
        <f>prod!B102</f>
        <v>משאיות רכוש</v>
      </c>
      <c r="G105" s="10" t="str">
        <f>prod!C102</f>
        <v xml:space="preserve">קסקו משאיות  </v>
      </c>
      <c r="H105" s="10">
        <f>prod!D102</f>
        <v>966272</v>
      </c>
      <c r="I105" s="10">
        <f>SUMIFS(info!C:C,info!$A:$A,data!$A105,info!$B:$B,data!$G105)</f>
        <v>0.11</v>
      </c>
      <c r="J105" s="10">
        <f>SUMIFS(info!D:D,info!$A:$A,data!$A105,info!$B:$B,data!$G105)</f>
        <v>0.95</v>
      </c>
      <c r="K105" s="10">
        <f>SUMIFS(info!E:E,info!$A:$A,data!$A105,info!$B:$B,data!$G105)</f>
        <v>0.22</v>
      </c>
      <c r="L105" s="10">
        <f>SUMIFS(info!F:F,info!$A:$A,data!$A105,info!$B:$B,data!$G105)</f>
        <v>0.7</v>
      </c>
      <c r="M105" s="10">
        <f>IF(SUMIFS(info!$C$25:$C$27,info!$A$25:$A$27,data!A105,info!$B$25:$B$27,data!F105)&lt;=0,1,SUMIFS(info!$C$25:$C$27,info!$A$25:$A$27,data!A105,info!$B$25:$B$27,data!F105))*H105</f>
        <v>966272</v>
      </c>
      <c r="N105" s="10">
        <f t="shared" si="68"/>
        <v>917958.39999999991</v>
      </c>
      <c r="O105" s="10">
        <f t="shared" si="69"/>
        <v>106289.92</v>
      </c>
      <c r="P105" s="10">
        <f t="shared" si="70"/>
        <v>201950.84799999997</v>
      </c>
      <c r="Q105" s="10">
        <f t="shared" si="71"/>
        <v>676390.39999999991</v>
      </c>
      <c r="R105" s="10">
        <f t="shared" si="72"/>
        <v>642570.87999999989</v>
      </c>
      <c r="S105" s="10">
        <f t="shared" si="73"/>
        <v>0</v>
      </c>
      <c r="T105" s="10">
        <f t="shared" si="91"/>
        <v>0</v>
      </c>
      <c r="U105" s="10">
        <f t="shared" si="91"/>
        <v>0</v>
      </c>
      <c r="V105" s="10">
        <f t="shared" si="91"/>
        <v>804785.44657534244</v>
      </c>
      <c r="W105" s="10">
        <f t="shared" si="91"/>
        <v>566526.59726027399</v>
      </c>
      <c r="X105" s="10">
        <f t="shared" si="91"/>
        <v>325620.42739726027</v>
      </c>
      <c r="Y105" s="10">
        <f t="shared" si="91"/>
        <v>82066.936986301371</v>
      </c>
      <c r="Z105" s="10">
        <f t="shared" si="91"/>
        <v>0</v>
      </c>
      <c r="AA105" s="10"/>
      <c r="AB105" s="10"/>
      <c r="AC105">
        <f t="shared" si="102"/>
        <v>0</v>
      </c>
      <c r="AD105">
        <f t="shared" si="102"/>
        <v>0</v>
      </c>
      <c r="AE105">
        <f t="shared" si="102"/>
        <v>0</v>
      </c>
      <c r="AF105">
        <f t="shared" si="102"/>
        <v>0</v>
      </c>
      <c r="AG105">
        <f t="shared" si="102"/>
        <v>0</v>
      </c>
      <c r="AH105">
        <f t="shared" si="102"/>
        <v>0</v>
      </c>
      <c r="AI105">
        <f t="shared" si="102"/>
        <v>0</v>
      </c>
      <c r="AJ105">
        <f t="shared" si="102"/>
        <v>365</v>
      </c>
      <c r="AK105">
        <f t="shared" si="102"/>
        <v>335</v>
      </c>
      <c r="AL105">
        <f t="shared" si="102"/>
        <v>304</v>
      </c>
      <c r="AM105">
        <f t="shared" si="102"/>
        <v>273</v>
      </c>
      <c r="AN105">
        <f t="shared" si="102"/>
        <v>245</v>
      </c>
      <c r="AO105">
        <f t="shared" si="102"/>
        <v>214</v>
      </c>
      <c r="AP105">
        <f t="shared" si="102"/>
        <v>184</v>
      </c>
      <c r="AQ105">
        <f t="shared" si="102"/>
        <v>153</v>
      </c>
      <c r="AR105">
        <f t="shared" si="93"/>
        <v>123</v>
      </c>
      <c r="AS105">
        <f t="shared" si="93"/>
        <v>92</v>
      </c>
      <c r="AT105">
        <f t="shared" si="93"/>
        <v>61</v>
      </c>
      <c r="AU105">
        <f t="shared" si="93"/>
        <v>31</v>
      </c>
      <c r="AV105">
        <f t="shared" si="93"/>
        <v>0</v>
      </c>
      <c r="AW105">
        <f t="shared" si="93"/>
        <v>-30</v>
      </c>
      <c r="AX105">
        <f t="shared" si="93"/>
        <v>-61</v>
      </c>
      <c r="AY105">
        <f t="shared" si="94"/>
        <v>0</v>
      </c>
      <c r="AZ105">
        <f t="shared" si="95"/>
        <v>0</v>
      </c>
      <c r="BA105">
        <f t="shared" si="96"/>
        <v>0</v>
      </c>
      <c r="BB105">
        <f t="shared" si="97"/>
        <v>0</v>
      </c>
      <c r="BC105">
        <f t="shared" si="98"/>
        <v>0</v>
      </c>
      <c r="BD105">
        <f t="shared" si="99"/>
        <v>0</v>
      </c>
      <c r="BE105">
        <f t="shared" si="100"/>
        <v>0</v>
      </c>
      <c r="BF105">
        <f t="shared" si="101"/>
        <v>365</v>
      </c>
      <c r="BG105">
        <f t="shared" si="75"/>
        <v>335</v>
      </c>
      <c r="BH105">
        <f t="shared" si="76"/>
        <v>304</v>
      </c>
      <c r="BI105">
        <f t="shared" si="77"/>
        <v>273</v>
      </c>
      <c r="BJ105">
        <f t="shared" si="78"/>
        <v>245</v>
      </c>
      <c r="BK105">
        <f t="shared" si="79"/>
        <v>214</v>
      </c>
      <c r="BL105">
        <f t="shared" si="80"/>
        <v>184</v>
      </c>
      <c r="BM105">
        <f t="shared" si="81"/>
        <v>153</v>
      </c>
      <c r="BN105">
        <f t="shared" si="82"/>
        <v>123</v>
      </c>
      <c r="BO105">
        <f t="shared" si="83"/>
        <v>92</v>
      </c>
      <c r="BP105">
        <f t="shared" si="84"/>
        <v>61</v>
      </c>
      <c r="BQ105">
        <f t="shared" si="85"/>
        <v>31</v>
      </c>
      <c r="BR105">
        <f t="shared" si="86"/>
        <v>0</v>
      </c>
      <c r="BS105">
        <f t="shared" si="87"/>
        <v>0</v>
      </c>
      <c r="BT105">
        <f t="shared" si="88"/>
        <v>0</v>
      </c>
    </row>
    <row r="106" spans="1:72" ht="12.95" customHeight="1" x14ac:dyDescent="0.2">
      <c r="A106">
        <f t="shared" si="92"/>
        <v>2025</v>
      </c>
      <c r="B106">
        <f t="shared" si="65"/>
        <v>12</v>
      </c>
      <c r="C106">
        <f t="shared" si="66"/>
        <v>4</v>
      </c>
      <c r="D106" s="11">
        <f>prod!A103</f>
        <v>45992</v>
      </c>
      <c r="E106" s="11">
        <f t="shared" si="67"/>
        <v>46356</v>
      </c>
      <c r="F106" s="10" t="str">
        <f>prod!B103</f>
        <v>משאיות רכוש</v>
      </c>
      <c r="G106" s="10" t="str">
        <f>prod!C103</f>
        <v xml:space="preserve">קסקו משאיות  </v>
      </c>
      <c r="H106" s="10">
        <f>prod!D103</f>
        <v>1485605</v>
      </c>
      <c r="I106" s="10">
        <f>SUMIFS(info!C:C,info!$A:$A,data!$A106,info!$B:$B,data!$G106)</f>
        <v>0.11</v>
      </c>
      <c r="J106" s="10">
        <f>SUMIFS(info!D:D,info!$A:$A,data!$A106,info!$B:$B,data!$G106)</f>
        <v>0.95</v>
      </c>
      <c r="K106" s="10">
        <f>SUMIFS(info!E:E,info!$A:$A,data!$A106,info!$B:$B,data!$G106)</f>
        <v>0.22</v>
      </c>
      <c r="L106" s="10">
        <f>SUMIFS(info!F:F,info!$A:$A,data!$A106,info!$B:$B,data!$G106)</f>
        <v>0.7</v>
      </c>
      <c r="M106" s="10">
        <f>IF(SUMIFS(info!$C$25:$C$27,info!$A$25:$A$27,data!A106,info!$B$25:$B$27,data!F106)&lt;=0,1,SUMIFS(info!$C$25:$C$27,info!$A$25:$A$27,data!A106,info!$B$25:$B$27,data!F106))*H106</f>
        <v>1485605</v>
      </c>
      <c r="N106" s="10">
        <f t="shared" si="68"/>
        <v>1411324.75</v>
      </c>
      <c r="O106" s="10">
        <f t="shared" si="69"/>
        <v>163416.54999999999</v>
      </c>
      <c r="P106" s="10">
        <f t="shared" si="70"/>
        <v>310491.44500000001</v>
      </c>
      <c r="Q106" s="10">
        <f t="shared" si="71"/>
        <v>1039923.4999999999</v>
      </c>
      <c r="R106" s="10">
        <f t="shared" si="72"/>
        <v>987927.32499999984</v>
      </c>
      <c r="S106" s="10">
        <f t="shared" si="73"/>
        <v>0</v>
      </c>
      <c r="T106" s="10">
        <f t="shared" si="91"/>
        <v>0</v>
      </c>
      <c r="U106" s="10">
        <f t="shared" si="91"/>
        <v>0</v>
      </c>
      <c r="V106" s="10">
        <f t="shared" si="91"/>
        <v>1359430.3287671234</v>
      </c>
      <c r="W106" s="10">
        <f t="shared" si="91"/>
        <v>993116.76712328766</v>
      </c>
      <c r="X106" s="10">
        <f t="shared" si="91"/>
        <v>622733.05479452061</v>
      </c>
      <c r="Y106" s="10">
        <f t="shared" si="91"/>
        <v>248279.19178082192</v>
      </c>
      <c r="Z106" s="10">
        <f t="shared" si="91"/>
        <v>0</v>
      </c>
      <c r="AA106" s="10"/>
      <c r="AB106" s="10"/>
      <c r="AC106">
        <f t="shared" si="102"/>
        <v>0</v>
      </c>
      <c r="AD106">
        <f t="shared" si="102"/>
        <v>0</v>
      </c>
      <c r="AE106">
        <f t="shared" si="102"/>
        <v>0</v>
      </c>
      <c r="AF106">
        <f t="shared" si="102"/>
        <v>0</v>
      </c>
      <c r="AG106">
        <f t="shared" si="102"/>
        <v>0</v>
      </c>
      <c r="AH106">
        <f t="shared" si="102"/>
        <v>0</v>
      </c>
      <c r="AI106">
        <f t="shared" si="102"/>
        <v>0</v>
      </c>
      <c r="AJ106">
        <f t="shared" si="102"/>
        <v>0</v>
      </c>
      <c r="AK106">
        <f t="shared" si="102"/>
        <v>365</v>
      </c>
      <c r="AL106">
        <f t="shared" si="102"/>
        <v>334</v>
      </c>
      <c r="AM106">
        <f t="shared" si="102"/>
        <v>303</v>
      </c>
      <c r="AN106">
        <f t="shared" si="102"/>
        <v>275</v>
      </c>
      <c r="AO106">
        <f t="shared" si="102"/>
        <v>244</v>
      </c>
      <c r="AP106">
        <f t="shared" si="102"/>
        <v>214</v>
      </c>
      <c r="AQ106">
        <f t="shared" si="102"/>
        <v>183</v>
      </c>
      <c r="AR106">
        <f t="shared" si="93"/>
        <v>153</v>
      </c>
      <c r="AS106">
        <f t="shared" si="93"/>
        <v>122</v>
      </c>
      <c r="AT106">
        <f t="shared" si="93"/>
        <v>91</v>
      </c>
      <c r="AU106">
        <f t="shared" si="93"/>
        <v>61</v>
      </c>
      <c r="AV106">
        <f t="shared" si="93"/>
        <v>30</v>
      </c>
      <c r="AW106">
        <f t="shared" si="93"/>
        <v>0</v>
      </c>
      <c r="AX106">
        <f t="shared" si="93"/>
        <v>-31</v>
      </c>
      <c r="AY106">
        <f t="shared" si="94"/>
        <v>0</v>
      </c>
      <c r="AZ106">
        <f t="shared" si="95"/>
        <v>0</v>
      </c>
      <c r="BA106">
        <f t="shared" si="96"/>
        <v>0</v>
      </c>
      <c r="BB106">
        <f t="shared" si="97"/>
        <v>0</v>
      </c>
      <c r="BC106">
        <f t="shared" si="98"/>
        <v>0</v>
      </c>
      <c r="BD106">
        <f t="shared" si="99"/>
        <v>0</v>
      </c>
      <c r="BE106">
        <f t="shared" si="100"/>
        <v>0</v>
      </c>
      <c r="BF106">
        <f t="shared" si="101"/>
        <v>0</v>
      </c>
      <c r="BG106">
        <f t="shared" si="75"/>
        <v>365</v>
      </c>
      <c r="BH106">
        <f t="shared" si="76"/>
        <v>334</v>
      </c>
      <c r="BI106">
        <f t="shared" si="77"/>
        <v>303</v>
      </c>
      <c r="BJ106">
        <f t="shared" si="78"/>
        <v>275</v>
      </c>
      <c r="BK106">
        <f t="shared" si="79"/>
        <v>244</v>
      </c>
      <c r="BL106">
        <f t="shared" si="80"/>
        <v>214</v>
      </c>
      <c r="BM106">
        <f t="shared" si="81"/>
        <v>183</v>
      </c>
      <c r="BN106">
        <f t="shared" si="82"/>
        <v>153</v>
      </c>
      <c r="BO106">
        <f t="shared" si="83"/>
        <v>122</v>
      </c>
      <c r="BP106">
        <f t="shared" si="84"/>
        <v>91</v>
      </c>
      <c r="BQ106">
        <f t="shared" si="85"/>
        <v>61</v>
      </c>
      <c r="BR106">
        <f t="shared" si="86"/>
        <v>30</v>
      </c>
      <c r="BS106">
        <f t="shared" si="87"/>
        <v>0</v>
      </c>
      <c r="BT106">
        <f t="shared" si="88"/>
        <v>0</v>
      </c>
    </row>
    <row r="107" spans="1:72" ht="12.95" customHeight="1" x14ac:dyDescent="0.2">
      <c r="A107">
        <f t="shared" si="92"/>
        <v>2026</v>
      </c>
      <c r="B107">
        <f t="shared" si="65"/>
        <v>1</v>
      </c>
      <c r="C107">
        <f t="shared" si="66"/>
        <v>1</v>
      </c>
      <c r="D107" s="11">
        <f>prod!A104</f>
        <v>46023</v>
      </c>
      <c r="E107" s="11">
        <f t="shared" si="67"/>
        <v>46387</v>
      </c>
      <c r="F107" s="10" t="str">
        <f>prod!B104</f>
        <v>משאיות רכוש</v>
      </c>
      <c r="G107" s="10" t="str">
        <f>prod!C104</f>
        <v xml:space="preserve">קסקו משאיות  </v>
      </c>
      <c r="H107" s="10">
        <f>prod!D104</f>
        <v>2125000</v>
      </c>
      <c r="I107" s="10">
        <f>SUMIFS(info!C:C,info!$A:$A,data!$A107,info!$B:$B,data!$G107)</f>
        <v>0.11</v>
      </c>
      <c r="J107" s="10">
        <f>SUMIFS(info!D:D,info!$A:$A,data!$A107,info!$B:$B,data!$G107)</f>
        <v>0.95</v>
      </c>
      <c r="K107" s="10">
        <f>SUMIFS(info!E:E,info!$A:$A,data!$A107,info!$B:$B,data!$G107)</f>
        <v>0.22</v>
      </c>
      <c r="L107" s="10">
        <f>SUMIFS(info!F:F,info!$A:$A,data!$A107,info!$B:$B,data!$G107)</f>
        <v>0.7</v>
      </c>
      <c r="M107" s="10">
        <f>IF(SUMIFS(info!$C$25:$C$27,info!$A$25:$A$27,data!A107,info!$B$25:$B$27,data!F107)&lt;=0,1,SUMIFS(info!$C$25:$C$27,info!$A$25:$A$27,data!A107,info!$B$25:$B$27,data!F107))*H107</f>
        <v>2125000</v>
      </c>
      <c r="N107" s="10">
        <f t="shared" si="68"/>
        <v>2018750</v>
      </c>
      <c r="O107" s="10">
        <f t="shared" si="69"/>
        <v>233750</v>
      </c>
      <c r="P107" s="10">
        <f t="shared" si="70"/>
        <v>444125</v>
      </c>
      <c r="Q107" s="10">
        <f t="shared" si="71"/>
        <v>1487500</v>
      </c>
      <c r="R107" s="10">
        <f t="shared" si="72"/>
        <v>1413125</v>
      </c>
      <c r="S107" s="10">
        <f t="shared" si="73"/>
        <v>0</v>
      </c>
      <c r="T107" s="10">
        <f t="shared" si="91"/>
        <v>0</v>
      </c>
      <c r="U107" s="10">
        <f t="shared" si="91"/>
        <v>0</v>
      </c>
      <c r="V107" s="10">
        <f t="shared" si="91"/>
        <v>0</v>
      </c>
      <c r="W107" s="10">
        <f t="shared" si="91"/>
        <v>1601027.397260274</v>
      </c>
      <c r="X107" s="10">
        <f t="shared" si="91"/>
        <v>1071232.8767123288</v>
      </c>
      <c r="Y107" s="10">
        <f t="shared" si="91"/>
        <v>535616.43835616438</v>
      </c>
      <c r="Z107" s="10">
        <f t="shared" si="91"/>
        <v>0</v>
      </c>
      <c r="AA107" s="10"/>
      <c r="AB107" s="10"/>
      <c r="AC107">
        <f t="shared" si="102"/>
        <v>0</v>
      </c>
      <c r="AD107">
        <f t="shared" si="102"/>
        <v>0</v>
      </c>
      <c r="AE107">
        <f t="shared" si="102"/>
        <v>0</v>
      </c>
      <c r="AF107">
        <f t="shared" si="102"/>
        <v>0</v>
      </c>
      <c r="AG107">
        <f t="shared" si="102"/>
        <v>0</v>
      </c>
      <c r="AH107">
        <f t="shared" si="102"/>
        <v>0</v>
      </c>
      <c r="AI107">
        <f t="shared" si="102"/>
        <v>0</v>
      </c>
      <c r="AJ107">
        <f t="shared" si="102"/>
        <v>0</v>
      </c>
      <c r="AK107">
        <f t="shared" si="102"/>
        <v>0</v>
      </c>
      <c r="AL107">
        <f t="shared" si="102"/>
        <v>365</v>
      </c>
      <c r="AM107">
        <f t="shared" si="102"/>
        <v>334</v>
      </c>
      <c r="AN107">
        <f t="shared" si="102"/>
        <v>306</v>
      </c>
      <c r="AO107">
        <f t="shared" si="102"/>
        <v>275</v>
      </c>
      <c r="AP107">
        <f t="shared" si="102"/>
        <v>245</v>
      </c>
      <c r="AQ107">
        <f t="shared" si="102"/>
        <v>214</v>
      </c>
      <c r="AR107">
        <f t="shared" si="93"/>
        <v>184</v>
      </c>
      <c r="AS107">
        <f t="shared" si="93"/>
        <v>153</v>
      </c>
      <c r="AT107">
        <f t="shared" si="93"/>
        <v>122</v>
      </c>
      <c r="AU107">
        <f t="shared" si="93"/>
        <v>92</v>
      </c>
      <c r="AV107">
        <f t="shared" si="93"/>
        <v>61</v>
      </c>
      <c r="AW107">
        <f t="shared" si="93"/>
        <v>31</v>
      </c>
      <c r="AX107">
        <f t="shared" si="93"/>
        <v>0</v>
      </c>
      <c r="AY107">
        <f t="shared" si="94"/>
        <v>0</v>
      </c>
      <c r="AZ107">
        <f t="shared" si="95"/>
        <v>0</v>
      </c>
      <c r="BA107">
        <f t="shared" si="96"/>
        <v>0</v>
      </c>
      <c r="BB107">
        <f t="shared" si="97"/>
        <v>0</v>
      </c>
      <c r="BC107">
        <f t="shared" si="98"/>
        <v>0</v>
      </c>
      <c r="BD107">
        <f t="shared" si="99"/>
        <v>0</v>
      </c>
      <c r="BE107">
        <f t="shared" si="100"/>
        <v>0</v>
      </c>
      <c r="BF107">
        <f t="shared" si="101"/>
        <v>0</v>
      </c>
      <c r="BG107">
        <f t="shared" si="75"/>
        <v>0</v>
      </c>
      <c r="BH107">
        <f t="shared" si="76"/>
        <v>365</v>
      </c>
      <c r="BI107">
        <f t="shared" si="77"/>
        <v>334</v>
      </c>
      <c r="BJ107">
        <f t="shared" si="78"/>
        <v>306</v>
      </c>
      <c r="BK107">
        <f t="shared" si="79"/>
        <v>275</v>
      </c>
      <c r="BL107">
        <f t="shared" si="80"/>
        <v>245</v>
      </c>
      <c r="BM107">
        <f t="shared" si="81"/>
        <v>214</v>
      </c>
      <c r="BN107">
        <f t="shared" si="82"/>
        <v>184</v>
      </c>
      <c r="BO107">
        <f t="shared" si="83"/>
        <v>153</v>
      </c>
      <c r="BP107">
        <f t="shared" si="84"/>
        <v>122</v>
      </c>
      <c r="BQ107">
        <f t="shared" si="85"/>
        <v>92</v>
      </c>
      <c r="BR107">
        <f t="shared" si="86"/>
        <v>61</v>
      </c>
      <c r="BS107">
        <f t="shared" si="87"/>
        <v>31</v>
      </c>
      <c r="BT107">
        <f t="shared" si="88"/>
        <v>0</v>
      </c>
    </row>
    <row r="108" spans="1:72" ht="12.95" customHeight="1" x14ac:dyDescent="0.2">
      <c r="A108">
        <f t="shared" si="92"/>
        <v>2026</v>
      </c>
      <c r="B108">
        <f t="shared" si="65"/>
        <v>2</v>
      </c>
      <c r="C108">
        <f t="shared" si="66"/>
        <v>1</v>
      </c>
      <c r="D108" s="11">
        <f>prod!A105</f>
        <v>46054</v>
      </c>
      <c r="E108" s="11">
        <f t="shared" si="67"/>
        <v>46418</v>
      </c>
      <c r="F108" s="10" t="str">
        <f>prod!B105</f>
        <v>משאיות רכוש</v>
      </c>
      <c r="G108" s="10" t="str">
        <f>prod!C105</f>
        <v xml:space="preserve">קסקו משאיות  </v>
      </c>
      <c r="H108" s="10">
        <f>prod!D105</f>
        <v>772727</v>
      </c>
      <c r="I108" s="10">
        <f>SUMIFS(info!C:C,info!$A:$A,data!$A108,info!$B:$B,data!$G108)</f>
        <v>0.11</v>
      </c>
      <c r="J108" s="10">
        <f>SUMIFS(info!D:D,info!$A:$A,data!$A108,info!$B:$B,data!$G108)</f>
        <v>0.95</v>
      </c>
      <c r="K108" s="10">
        <f>SUMIFS(info!E:E,info!$A:$A,data!$A108,info!$B:$B,data!$G108)</f>
        <v>0.22</v>
      </c>
      <c r="L108" s="10">
        <f>SUMIFS(info!F:F,info!$A:$A,data!$A108,info!$B:$B,data!$G108)</f>
        <v>0.7</v>
      </c>
      <c r="M108" s="10">
        <f>IF(SUMIFS(info!$C$25:$C$27,info!$A$25:$A$27,data!A108,info!$B$25:$B$27,data!F108)&lt;=0,1,SUMIFS(info!$C$25:$C$27,info!$A$25:$A$27,data!A108,info!$B$25:$B$27,data!F108))*H108</f>
        <v>772727</v>
      </c>
      <c r="N108" s="10">
        <f t="shared" si="68"/>
        <v>734090.65</v>
      </c>
      <c r="O108" s="10">
        <f t="shared" si="69"/>
        <v>84999.97</v>
      </c>
      <c r="P108" s="10">
        <f t="shared" si="70"/>
        <v>161499.943</v>
      </c>
      <c r="Q108" s="10">
        <f t="shared" si="71"/>
        <v>540908.9</v>
      </c>
      <c r="R108" s="10">
        <f t="shared" si="72"/>
        <v>513863.45500000002</v>
      </c>
      <c r="S108" s="10">
        <f t="shared" si="73"/>
        <v>0</v>
      </c>
      <c r="T108" s="10">
        <f t="shared" si="91"/>
        <v>0</v>
      </c>
      <c r="U108" s="10">
        <f t="shared" si="91"/>
        <v>0</v>
      </c>
      <c r="V108" s="10">
        <f t="shared" si="91"/>
        <v>0</v>
      </c>
      <c r="W108" s="10">
        <f t="shared" si="91"/>
        <v>647820.44383561646</v>
      </c>
      <c r="X108" s="10">
        <f t="shared" si="91"/>
        <v>455167.9589041096</v>
      </c>
      <c r="Y108" s="10">
        <f t="shared" si="91"/>
        <v>260398.41369863015</v>
      </c>
      <c r="Z108" s="10">
        <f t="shared" si="91"/>
        <v>65628.868493150687</v>
      </c>
      <c r="AA108" s="10"/>
      <c r="AB108" s="10"/>
      <c r="AC108">
        <f t="shared" si="102"/>
        <v>0</v>
      </c>
      <c r="AD108">
        <f t="shared" si="102"/>
        <v>0</v>
      </c>
      <c r="AE108">
        <f t="shared" si="102"/>
        <v>0</v>
      </c>
      <c r="AF108">
        <f t="shared" si="102"/>
        <v>0</v>
      </c>
      <c r="AG108">
        <f t="shared" si="102"/>
        <v>0</v>
      </c>
      <c r="AH108">
        <f t="shared" si="102"/>
        <v>0</v>
      </c>
      <c r="AI108">
        <f t="shared" si="102"/>
        <v>0</v>
      </c>
      <c r="AJ108">
        <f t="shared" si="102"/>
        <v>0</v>
      </c>
      <c r="AK108">
        <f t="shared" si="102"/>
        <v>0</v>
      </c>
      <c r="AL108">
        <f t="shared" si="102"/>
        <v>0</v>
      </c>
      <c r="AM108">
        <f t="shared" si="102"/>
        <v>365</v>
      </c>
      <c r="AN108">
        <f t="shared" si="102"/>
        <v>337</v>
      </c>
      <c r="AO108">
        <f t="shared" si="102"/>
        <v>306</v>
      </c>
      <c r="AP108">
        <f t="shared" si="102"/>
        <v>276</v>
      </c>
      <c r="AQ108">
        <f t="shared" si="102"/>
        <v>245</v>
      </c>
      <c r="AR108">
        <f t="shared" si="93"/>
        <v>215</v>
      </c>
      <c r="AS108">
        <f t="shared" si="93"/>
        <v>184</v>
      </c>
      <c r="AT108">
        <f t="shared" si="93"/>
        <v>153</v>
      </c>
      <c r="AU108">
        <f t="shared" si="93"/>
        <v>123</v>
      </c>
      <c r="AV108">
        <f t="shared" si="93"/>
        <v>92</v>
      </c>
      <c r="AW108">
        <f t="shared" si="93"/>
        <v>62</v>
      </c>
      <c r="AX108">
        <f t="shared" si="93"/>
        <v>31</v>
      </c>
      <c r="AY108">
        <f t="shared" si="94"/>
        <v>0</v>
      </c>
      <c r="AZ108">
        <f t="shared" si="95"/>
        <v>0</v>
      </c>
      <c r="BA108">
        <f t="shared" si="96"/>
        <v>0</v>
      </c>
      <c r="BB108">
        <f t="shared" si="97"/>
        <v>0</v>
      </c>
      <c r="BC108">
        <f t="shared" si="98"/>
        <v>0</v>
      </c>
      <c r="BD108">
        <f t="shared" si="99"/>
        <v>0</v>
      </c>
      <c r="BE108">
        <f t="shared" si="100"/>
        <v>0</v>
      </c>
      <c r="BF108">
        <f t="shared" si="101"/>
        <v>0</v>
      </c>
      <c r="BG108">
        <f t="shared" si="75"/>
        <v>0</v>
      </c>
      <c r="BH108">
        <f t="shared" si="76"/>
        <v>0</v>
      </c>
      <c r="BI108">
        <f t="shared" si="77"/>
        <v>365</v>
      </c>
      <c r="BJ108">
        <f t="shared" si="78"/>
        <v>337</v>
      </c>
      <c r="BK108">
        <f t="shared" si="79"/>
        <v>306</v>
      </c>
      <c r="BL108">
        <f t="shared" si="80"/>
        <v>276</v>
      </c>
      <c r="BM108">
        <f t="shared" si="81"/>
        <v>245</v>
      </c>
      <c r="BN108">
        <f t="shared" si="82"/>
        <v>215</v>
      </c>
      <c r="BO108">
        <f t="shared" si="83"/>
        <v>184</v>
      </c>
      <c r="BP108">
        <f t="shared" si="84"/>
        <v>153</v>
      </c>
      <c r="BQ108">
        <f t="shared" si="85"/>
        <v>123</v>
      </c>
      <c r="BR108">
        <f t="shared" si="86"/>
        <v>92</v>
      </c>
      <c r="BS108">
        <f t="shared" si="87"/>
        <v>62</v>
      </c>
      <c r="BT108">
        <f t="shared" si="88"/>
        <v>31</v>
      </c>
    </row>
    <row r="109" spans="1:72" ht="12.95" customHeight="1" x14ac:dyDescent="0.2">
      <c r="A109">
        <f t="shared" si="92"/>
        <v>2026</v>
      </c>
      <c r="B109">
        <f t="shared" si="65"/>
        <v>3</v>
      </c>
      <c r="C109">
        <f t="shared" si="66"/>
        <v>1</v>
      </c>
      <c r="D109" s="11">
        <f>prod!A106</f>
        <v>46082</v>
      </c>
      <c r="E109" s="11">
        <f t="shared" si="67"/>
        <v>46446</v>
      </c>
      <c r="F109" s="10" t="str">
        <f>prod!B106</f>
        <v>משאיות רכוש</v>
      </c>
      <c r="G109" s="10" t="str">
        <f>prod!C106</f>
        <v xml:space="preserve">קסקו משאיות  </v>
      </c>
      <c r="H109" s="10">
        <f>prod!D106</f>
        <v>772727</v>
      </c>
      <c r="I109" s="10">
        <f>SUMIFS(info!C:C,info!$A:$A,data!$A109,info!$B:$B,data!$G109)</f>
        <v>0.11</v>
      </c>
      <c r="J109" s="10">
        <f>SUMIFS(info!D:D,info!$A:$A,data!$A109,info!$B:$B,data!$G109)</f>
        <v>0.95</v>
      </c>
      <c r="K109" s="10">
        <f>SUMIFS(info!E:E,info!$A:$A,data!$A109,info!$B:$B,data!$G109)</f>
        <v>0.22</v>
      </c>
      <c r="L109" s="10">
        <f>SUMIFS(info!F:F,info!$A:$A,data!$A109,info!$B:$B,data!$G109)</f>
        <v>0.7</v>
      </c>
      <c r="M109" s="10">
        <f>IF(SUMIFS(info!$C$25:$C$27,info!$A$25:$A$27,data!A109,info!$B$25:$B$27,data!F109)&lt;=0,1,SUMIFS(info!$C$25:$C$27,info!$A$25:$A$27,data!A109,info!$B$25:$B$27,data!F109))*H109</f>
        <v>772727</v>
      </c>
      <c r="N109" s="10">
        <f t="shared" si="68"/>
        <v>734090.65</v>
      </c>
      <c r="O109" s="10">
        <f t="shared" si="69"/>
        <v>84999.97</v>
      </c>
      <c r="P109" s="10">
        <f t="shared" si="70"/>
        <v>161499.943</v>
      </c>
      <c r="Q109" s="10">
        <f t="shared" si="71"/>
        <v>540908.9</v>
      </c>
      <c r="R109" s="10">
        <f t="shared" si="72"/>
        <v>513863.45500000002</v>
      </c>
      <c r="S109" s="10">
        <f t="shared" si="73"/>
        <v>0</v>
      </c>
      <c r="T109" s="10">
        <f t="shared" si="91"/>
        <v>0</v>
      </c>
      <c r="U109" s="10">
        <f t="shared" si="91"/>
        <v>0</v>
      </c>
      <c r="V109" s="10">
        <f t="shared" si="91"/>
        <v>0</v>
      </c>
      <c r="W109" s="10">
        <f t="shared" si="91"/>
        <v>707098.13150684931</v>
      </c>
      <c r="X109" s="10">
        <f t="shared" si="91"/>
        <v>514445.64657534246</v>
      </c>
      <c r="Y109" s="10">
        <f t="shared" si="91"/>
        <v>319676.10136986303</v>
      </c>
      <c r="Z109" s="10">
        <f t="shared" si="91"/>
        <v>124906.55616438357</v>
      </c>
      <c r="AA109" s="10"/>
      <c r="AB109" s="10"/>
      <c r="AC109">
        <f t="shared" si="102"/>
        <v>0</v>
      </c>
      <c r="AD109">
        <f t="shared" si="102"/>
        <v>0</v>
      </c>
      <c r="AE109">
        <f t="shared" si="102"/>
        <v>0</v>
      </c>
      <c r="AF109">
        <f t="shared" si="102"/>
        <v>0</v>
      </c>
      <c r="AG109">
        <f t="shared" si="102"/>
        <v>0</v>
      </c>
      <c r="AH109">
        <f t="shared" si="102"/>
        <v>0</v>
      </c>
      <c r="AI109">
        <f t="shared" si="102"/>
        <v>0</v>
      </c>
      <c r="AJ109">
        <f t="shared" si="102"/>
        <v>0</v>
      </c>
      <c r="AK109">
        <f t="shared" si="102"/>
        <v>0</v>
      </c>
      <c r="AL109">
        <f t="shared" si="102"/>
        <v>0</v>
      </c>
      <c r="AM109">
        <f t="shared" si="102"/>
        <v>0</v>
      </c>
      <c r="AN109">
        <f t="shared" si="102"/>
        <v>365</v>
      </c>
      <c r="AO109">
        <f t="shared" si="102"/>
        <v>334</v>
      </c>
      <c r="AP109">
        <f t="shared" si="102"/>
        <v>304</v>
      </c>
      <c r="AQ109">
        <f t="shared" si="102"/>
        <v>273</v>
      </c>
      <c r="AR109">
        <f t="shared" si="93"/>
        <v>243</v>
      </c>
      <c r="AS109">
        <f t="shared" si="93"/>
        <v>212</v>
      </c>
      <c r="AT109">
        <f t="shared" si="93"/>
        <v>181</v>
      </c>
      <c r="AU109">
        <f t="shared" si="93"/>
        <v>151</v>
      </c>
      <c r="AV109">
        <f t="shared" si="93"/>
        <v>120</v>
      </c>
      <c r="AW109">
        <f t="shared" si="93"/>
        <v>90</v>
      </c>
      <c r="AX109">
        <f t="shared" si="93"/>
        <v>59</v>
      </c>
      <c r="AY109">
        <f t="shared" si="94"/>
        <v>0</v>
      </c>
      <c r="AZ109">
        <f t="shared" si="95"/>
        <v>0</v>
      </c>
      <c r="BA109">
        <f t="shared" si="96"/>
        <v>0</v>
      </c>
      <c r="BB109">
        <f t="shared" si="97"/>
        <v>0</v>
      </c>
      <c r="BC109">
        <f t="shared" si="98"/>
        <v>0</v>
      </c>
      <c r="BD109">
        <f t="shared" si="99"/>
        <v>0</v>
      </c>
      <c r="BE109">
        <f t="shared" si="100"/>
        <v>0</v>
      </c>
      <c r="BF109">
        <f t="shared" si="101"/>
        <v>0</v>
      </c>
      <c r="BG109">
        <f t="shared" si="75"/>
        <v>0</v>
      </c>
      <c r="BH109">
        <f t="shared" si="76"/>
        <v>0</v>
      </c>
      <c r="BI109">
        <f t="shared" si="77"/>
        <v>0</v>
      </c>
      <c r="BJ109">
        <f t="shared" si="78"/>
        <v>365</v>
      </c>
      <c r="BK109">
        <f t="shared" si="79"/>
        <v>334</v>
      </c>
      <c r="BL109">
        <f t="shared" si="80"/>
        <v>304</v>
      </c>
      <c r="BM109">
        <f t="shared" si="81"/>
        <v>273</v>
      </c>
      <c r="BN109">
        <f t="shared" si="82"/>
        <v>243</v>
      </c>
      <c r="BO109">
        <f t="shared" si="83"/>
        <v>212</v>
      </c>
      <c r="BP109">
        <f t="shared" si="84"/>
        <v>181</v>
      </c>
      <c r="BQ109">
        <f t="shared" si="85"/>
        <v>151</v>
      </c>
      <c r="BR109">
        <f t="shared" si="86"/>
        <v>120</v>
      </c>
      <c r="BS109">
        <f t="shared" si="87"/>
        <v>90</v>
      </c>
      <c r="BT109">
        <f t="shared" si="88"/>
        <v>59</v>
      </c>
    </row>
    <row r="110" spans="1:72" ht="12.95" customHeight="1" x14ac:dyDescent="0.2">
      <c r="A110">
        <f t="shared" si="92"/>
        <v>2026</v>
      </c>
      <c r="B110">
        <f t="shared" si="65"/>
        <v>4</v>
      </c>
      <c r="C110">
        <f t="shared" si="66"/>
        <v>2</v>
      </c>
      <c r="D110" s="11">
        <f>prod!A107</f>
        <v>46113</v>
      </c>
      <c r="E110" s="11">
        <f t="shared" si="67"/>
        <v>46477</v>
      </c>
      <c r="F110" s="10" t="str">
        <f>prod!B107</f>
        <v>משאיות רכוש</v>
      </c>
      <c r="G110" s="10" t="str">
        <f>prod!C107</f>
        <v xml:space="preserve">קסקו משאיות  </v>
      </c>
      <c r="H110" s="10">
        <f>prod!D107</f>
        <v>772727</v>
      </c>
      <c r="I110" s="10">
        <f>SUMIFS(info!C:C,info!$A:$A,data!$A110,info!$B:$B,data!$G110)</f>
        <v>0.11</v>
      </c>
      <c r="J110" s="10">
        <f>SUMIFS(info!D:D,info!$A:$A,data!$A110,info!$B:$B,data!$G110)</f>
        <v>0.95</v>
      </c>
      <c r="K110" s="10">
        <f>SUMIFS(info!E:E,info!$A:$A,data!$A110,info!$B:$B,data!$G110)</f>
        <v>0.22</v>
      </c>
      <c r="L110" s="10">
        <f>SUMIFS(info!F:F,info!$A:$A,data!$A110,info!$B:$B,data!$G110)</f>
        <v>0.7</v>
      </c>
      <c r="M110" s="10">
        <f>IF(SUMIFS(info!$C$25:$C$27,info!$A$25:$A$27,data!A110,info!$B$25:$B$27,data!F110)&lt;=0,1,SUMIFS(info!$C$25:$C$27,info!$A$25:$A$27,data!A110,info!$B$25:$B$27,data!F110))*H110</f>
        <v>772727</v>
      </c>
      <c r="N110" s="10">
        <f t="shared" si="68"/>
        <v>734090.65</v>
      </c>
      <c r="O110" s="10">
        <f t="shared" si="69"/>
        <v>84999.97</v>
      </c>
      <c r="P110" s="10">
        <f t="shared" si="70"/>
        <v>161499.943</v>
      </c>
      <c r="Q110" s="10">
        <f t="shared" si="71"/>
        <v>540908.9</v>
      </c>
      <c r="R110" s="10">
        <f t="shared" si="72"/>
        <v>513863.45500000002</v>
      </c>
      <c r="S110" s="10">
        <f t="shared" si="73"/>
        <v>0</v>
      </c>
      <c r="T110" s="10">
        <f t="shared" si="91"/>
        <v>0</v>
      </c>
      <c r="U110" s="10">
        <f t="shared" si="91"/>
        <v>0</v>
      </c>
      <c r="V110" s="10">
        <f t="shared" si="91"/>
        <v>0</v>
      </c>
      <c r="W110" s="10">
        <f t="shared" si="91"/>
        <v>0</v>
      </c>
      <c r="X110" s="10">
        <f t="shared" si="91"/>
        <v>580074.5150684932</v>
      </c>
      <c r="Y110" s="10">
        <f t="shared" si="91"/>
        <v>385304.96986301371</v>
      </c>
      <c r="Z110" s="10">
        <f t="shared" si="91"/>
        <v>190535.42465753425</v>
      </c>
      <c r="AA110" s="10"/>
      <c r="AB110" s="10"/>
      <c r="AC110">
        <f t="shared" si="102"/>
        <v>0</v>
      </c>
      <c r="AD110">
        <f t="shared" si="102"/>
        <v>0</v>
      </c>
      <c r="AE110">
        <f t="shared" si="102"/>
        <v>0</v>
      </c>
      <c r="AF110">
        <f t="shared" si="102"/>
        <v>0</v>
      </c>
      <c r="AG110">
        <f t="shared" si="102"/>
        <v>0</v>
      </c>
      <c r="AH110">
        <f t="shared" si="102"/>
        <v>0</v>
      </c>
      <c r="AI110">
        <f t="shared" si="102"/>
        <v>0</v>
      </c>
      <c r="AJ110">
        <f t="shared" si="102"/>
        <v>0</v>
      </c>
      <c r="AK110">
        <f t="shared" si="102"/>
        <v>0</v>
      </c>
      <c r="AL110">
        <f t="shared" si="102"/>
        <v>0</v>
      </c>
      <c r="AM110">
        <f t="shared" si="102"/>
        <v>0</v>
      </c>
      <c r="AN110">
        <f t="shared" si="102"/>
        <v>0</v>
      </c>
      <c r="AO110">
        <f t="shared" si="102"/>
        <v>365</v>
      </c>
      <c r="AP110">
        <f t="shared" si="102"/>
        <v>335</v>
      </c>
      <c r="AQ110">
        <f t="shared" si="102"/>
        <v>304</v>
      </c>
      <c r="AR110">
        <f t="shared" si="93"/>
        <v>274</v>
      </c>
      <c r="AS110">
        <f t="shared" si="93"/>
        <v>243</v>
      </c>
      <c r="AT110">
        <f t="shared" si="93"/>
        <v>212</v>
      </c>
      <c r="AU110">
        <f t="shared" si="93"/>
        <v>182</v>
      </c>
      <c r="AV110">
        <f t="shared" si="93"/>
        <v>151</v>
      </c>
      <c r="AW110">
        <f t="shared" si="93"/>
        <v>121</v>
      </c>
      <c r="AX110">
        <f t="shared" si="93"/>
        <v>90</v>
      </c>
      <c r="AY110">
        <f t="shared" si="94"/>
        <v>0</v>
      </c>
      <c r="AZ110">
        <f t="shared" si="95"/>
        <v>0</v>
      </c>
      <c r="BA110">
        <f t="shared" si="96"/>
        <v>0</v>
      </c>
      <c r="BB110">
        <f t="shared" si="97"/>
        <v>0</v>
      </c>
      <c r="BC110">
        <f t="shared" si="98"/>
        <v>0</v>
      </c>
      <c r="BD110">
        <f t="shared" si="99"/>
        <v>0</v>
      </c>
      <c r="BE110">
        <f t="shared" si="100"/>
        <v>0</v>
      </c>
      <c r="BF110">
        <f t="shared" si="101"/>
        <v>0</v>
      </c>
      <c r="BG110">
        <f t="shared" si="75"/>
        <v>0</v>
      </c>
      <c r="BH110">
        <f t="shared" si="76"/>
        <v>0</v>
      </c>
      <c r="BI110">
        <f t="shared" si="77"/>
        <v>0</v>
      </c>
      <c r="BJ110">
        <f t="shared" si="78"/>
        <v>0</v>
      </c>
      <c r="BK110">
        <f t="shared" si="79"/>
        <v>365</v>
      </c>
      <c r="BL110">
        <f t="shared" si="80"/>
        <v>335</v>
      </c>
      <c r="BM110">
        <f t="shared" si="81"/>
        <v>304</v>
      </c>
      <c r="BN110">
        <f t="shared" si="82"/>
        <v>274</v>
      </c>
      <c r="BO110">
        <f t="shared" si="83"/>
        <v>243</v>
      </c>
      <c r="BP110">
        <f t="shared" si="84"/>
        <v>212</v>
      </c>
      <c r="BQ110">
        <f t="shared" si="85"/>
        <v>182</v>
      </c>
      <c r="BR110">
        <f t="shared" si="86"/>
        <v>151</v>
      </c>
      <c r="BS110">
        <f t="shared" si="87"/>
        <v>121</v>
      </c>
      <c r="BT110">
        <f t="shared" si="88"/>
        <v>90</v>
      </c>
    </row>
    <row r="111" spans="1:72" ht="12.95" customHeight="1" x14ac:dyDescent="0.2">
      <c r="A111">
        <f t="shared" si="92"/>
        <v>2026</v>
      </c>
      <c r="B111">
        <f t="shared" si="65"/>
        <v>5</v>
      </c>
      <c r="C111">
        <f t="shared" si="66"/>
        <v>2</v>
      </c>
      <c r="D111" s="11">
        <f>prod!A108</f>
        <v>46143</v>
      </c>
      <c r="E111" s="11">
        <f t="shared" si="67"/>
        <v>46507</v>
      </c>
      <c r="F111" s="10" t="str">
        <f>prod!B108</f>
        <v>משאיות רכוש</v>
      </c>
      <c r="G111" s="10" t="str">
        <f>prod!C108</f>
        <v xml:space="preserve">קסקו משאיות  </v>
      </c>
      <c r="H111" s="10">
        <f>prod!D108</f>
        <v>772727</v>
      </c>
      <c r="I111" s="10">
        <f>SUMIFS(info!C:C,info!$A:$A,data!$A111,info!$B:$B,data!$G111)</f>
        <v>0.11</v>
      </c>
      <c r="J111" s="10">
        <f>SUMIFS(info!D:D,info!$A:$A,data!$A111,info!$B:$B,data!$G111)</f>
        <v>0.95</v>
      </c>
      <c r="K111" s="10">
        <f>SUMIFS(info!E:E,info!$A:$A,data!$A111,info!$B:$B,data!$G111)</f>
        <v>0.22</v>
      </c>
      <c r="L111" s="10">
        <f>SUMIFS(info!F:F,info!$A:$A,data!$A111,info!$B:$B,data!$G111)</f>
        <v>0.7</v>
      </c>
      <c r="M111" s="10">
        <f>IF(SUMIFS(info!$C$25:$C$27,info!$A$25:$A$27,data!A111,info!$B$25:$B$27,data!F111)&lt;=0,1,SUMIFS(info!$C$25:$C$27,info!$A$25:$A$27,data!A111,info!$B$25:$B$27,data!F111))*H111</f>
        <v>772727</v>
      </c>
      <c r="N111" s="10">
        <f t="shared" si="68"/>
        <v>734090.65</v>
      </c>
      <c r="O111" s="10">
        <f t="shared" si="69"/>
        <v>84999.97</v>
      </c>
      <c r="P111" s="10">
        <f t="shared" si="70"/>
        <v>161499.943</v>
      </c>
      <c r="Q111" s="10">
        <f t="shared" si="71"/>
        <v>540908.9</v>
      </c>
      <c r="R111" s="10">
        <f t="shared" si="72"/>
        <v>513863.45500000002</v>
      </c>
      <c r="S111" s="10">
        <f t="shared" si="73"/>
        <v>0</v>
      </c>
      <c r="T111" s="10">
        <f t="shared" si="91"/>
        <v>0</v>
      </c>
      <c r="U111" s="10">
        <f t="shared" si="91"/>
        <v>0</v>
      </c>
      <c r="V111" s="10">
        <f t="shared" si="91"/>
        <v>0</v>
      </c>
      <c r="W111" s="10">
        <f t="shared" si="91"/>
        <v>0</v>
      </c>
      <c r="X111" s="10">
        <f t="shared" si="91"/>
        <v>643586.3232876712</v>
      </c>
      <c r="Y111" s="10">
        <f t="shared" si="91"/>
        <v>448816.77808219177</v>
      </c>
      <c r="Z111" s="10">
        <f t="shared" si="91"/>
        <v>254047.23287671234</v>
      </c>
      <c r="AA111" s="10"/>
      <c r="AB111" s="10"/>
      <c r="AC111">
        <f t="shared" si="102"/>
        <v>0</v>
      </c>
      <c r="AD111">
        <f t="shared" si="102"/>
        <v>0</v>
      </c>
      <c r="AE111">
        <f t="shared" si="102"/>
        <v>0</v>
      </c>
      <c r="AF111">
        <f t="shared" si="102"/>
        <v>0</v>
      </c>
      <c r="AG111">
        <f t="shared" si="102"/>
        <v>0</v>
      </c>
      <c r="AH111">
        <f t="shared" si="102"/>
        <v>0</v>
      </c>
      <c r="AI111">
        <f t="shared" si="102"/>
        <v>0</v>
      </c>
      <c r="AJ111">
        <f t="shared" si="102"/>
        <v>0</v>
      </c>
      <c r="AK111">
        <f t="shared" si="102"/>
        <v>0</v>
      </c>
      <c r="AL111">
        <f t="shared" si="102"/>
        <v>0</v>
      </c>
      <c r="AM111">
        <f t="shared" si="102"/>
        <v>0</v>
      </c>
      <c r="AN111">
        <f t="shared" si="102"/>
        <v>0</v>
      </c>
      <c r="AO111">
        <f t="shared" si="102"/>
        <v>0</v>
      </c>
      <c r="AP111">
        <f t="shared" si="102"/>
        <v>365</v>
      </c>
      <c r="AQ111">
        <f t="shared" si="102"/>
        <v>334</v>
      </c>
      <c r="AR111">
        <f t="shared" si="93"/>
        <v>304</v>
      </c>
      <c r="AS111">
        <f t="shared" si="93"/>
        <v>273</v>
      </c>
      <c r="AT111">
        <f t="shared" si="93"/>
        <v>242</v>
      </c>
      <c r="AU111">
        <f t="shared" si="93"/>
        <v>212</v>
      </c>
      <c r="AV111">
        <f t="shared" si="93"/>
        <v>181</v>
      </c>
      <c r="AW111">
        <f t="shared" si="93"/>
        <v>151</v>
      </c>
      <c r="AX111">
        <f t="shared" si="93"/>
        <v>120</v>
      </c>
      <c r="AY111">
        <f t="shared" si="94"/>
        <v>0</v>
      </c>
      <c r="AZ111">
        <f t="shared" si="95"/>
        <v>0</v>
      </c>
      <c r="BA111">
        <f t="shared" si="96"/>
        <v>0</v>
      </c>
      <c r="BB111">
        <f t="shared" si="97"/>
        <v>0</v>
      </c>
      <c r="BC111">
        <f t="shared" si="98"/>
        <v>0</v>
      </c>
      <c r="BD111">
        <f t="shared" si="99"/>
        <v>0</v>
      </c>
      <c r="BE111">
        <f t="shared" si="100"/>
        <v>0</v>
      </c>
      <c r="BF111">
        <f t="shared" si="101"/>
        <v>0</v>
      </c>
      <c r="BG111">
        <f t="shared" si="75"/>
        <v>0</v>
      </c>
      <c r="BH111">
        <f t="shared" si="76"/>
        <v>0</v>
      </c>
      <c r="BI111">
        <f t="shared" si="77"/>
        <v>0</v>
      </c>
      <c r="BJ111">
        <f t="shared" si="78"/>
        <v>0</v>
      </c>
      <c r="BK111">
        <f t="shared" si="79"/>
        <v>0</v>
      </c>
      <c r="BL111">
        <f t="shared" si="80"/>
        <v>365</v>
      </c>
      <c r="BM111">
        <f t="shared" si="81"/>
        <v>334</v>
      </c>
      <c r="BN111">
        <f t="shared" si="82"/>
        <v>304</v>
      </c>
      <c r="BO111">
        <f t="shared" si="83"/>
        <v>273</v>
      </c>
      <c r="BP111">
        <f t="shared" si="84"/>
        <v>242</v>
      </c>
      <c r="BQ111">
        <f t="shared" si="85"/>
        <v>212</v>
      </c>
      <c r="BR111">
        <f t="shared" si="86"/>
        <v>181</v>
      </c>
      <c r="BS111">
        <f t="shared" si="87"/>
        <v>151</v>
      </c>
      <c r="BT111">
        <f t="shared" si="88"/>
        <v>120</v>
      </c>
    </row>
    <row r="112" spans="1:72" ht="12.95" customHeight="1" x14ac:dyDescent="0.2">
      <c r="A112">
        <f t="shared" si="92"/>
        <v>2026</v>
      </c>
      <c r="B112">
        <f t="shared" si="65"/>
        <v>6</v>
      </c>
      <c r="C112">
        <f t="shared" si="66"/>
        <v>2</v>
      </c>
      <c r="D112" s="11">
        <f>prod!A109</f>
        <v>46174</v>
      </c>
      <c r="E112" s="11">
        <f t="shared" si="67"/>
        <v>46538</v>
      </c>
      <c r="F112" s="10" t="str">
        <f>prod!B109</f>
        <v>משאיות רכוש</v>
      </c>
      <c r="G112" s="10" t="str">
        <f>prod!C109</f>
        <v xml:space="preserve">קסקו משאיות  </v>
      </c>
      <c r="H112" s="10">
        <f>prod!D109</f>
        <v>772727</v>
      </c>
      <c r="I112" s="10">
        <f>SUMIFS(info!C:C,info!$A:$A,data!$A112,info!$B:$B,data!$G112)</f>
        <v>0.11</v>
      </c>
      <c r="J112" s="10">
        <f>SUMIFS(info!D:D,info!$A:$A,data!$A112,info!$B:$B,data!$G112)</f>
        <v>0.95</v>
      </c>
      <c r="K112" s="10">
        <f>SUMIFS(info!E:E,info!$A:$A,data!$A112,info!$B:$B,data!$G112)</f>
        <v>0.22</v>
      </c>
      <c r="L112" s="10">
        <f>SUMIFS(info!F:F,info!$A:$A,data!$A112,info!$B:$B,data!$G112)</f>
        <v>0.7</v>
      </c>
      <c r="M112" s="10">
        <f>IF(SUMIFS(info!$C$25:$C$27,info!$A$25:$A$27,data!A112,info!$B$25:$B$27,data!F112)&lt;=0,1,SUMIFS(info!$C$25:$C$27,info!$A$25:$A$27,data!A112,info!$B$25:$B$27,data!F112))*H112</f>
        <v>772727</v>
      </c>
      <c r="N112" s="10">
        <f t="shared" si="68"/>
        <v>734090.65</v>
      </c>
      <c r="O112" s="10">
        <f t="shared" si="69"/>
        <v>84999.97</v>
      </c>
      <c r="P112" s="10">
        <f t="shared" si="70"/>
        <v>161499.943</v>
      </c>
      <c r="Q112" s="10">
        <f t="shared" si="71"/>
        <v>540908.9</v>
      </c>
      <c r="R112" s="10">
        <f t="shared" si="72"/>
        <v>513863.45500000002</v>
      </c>
      <c r="S112" s="10">
        <f t="shared" si="73"/>
        <v>0</v>
      </c>
      <c r="T112" s="10">
        <f t="shared" si="91"/>
        <v>0</v>
      </c>
      <c r="U112" s="10">
        <f t="shared" si="91"/>
        <v>0</v>
      </c>
      <c r="V112" s="10">
        <f t="shared" si="91"/>
        <v>0</v>
      </c>
      <c r="W112" s="10">
        <f t="shared" si="91"/>
        <v>0</v>
      </c>
      <c r="X112" s="10">
        <f t="shared" si="91"/>
        <v>709215.19178082189</v>
      </c>
      <c r="Y112" s="10">
        <f t="shared" si="91"/>
        <v>514445.64657534246</v>
      </c>
      <c r="Z112" s="10">
        <f t="shared" si="91"/>
        <v>319676.10136986303</v>
      </c>
      <c r="AA112" s="10"/>
      <c r="AB112" s="10"/>
      <c r="AC112">
        <f t="shared" si="102"/>
        <v>0</v>
      </c>
      <c r="AD112">
        <f t="shared" si="102"/>
        <v>0</v>
      </c>
      <c r="AE112">
        <f t="shared" si="102"/>
        <v>0</v>
      </c>
      <c r="AF112">
        <f t="shared" si="102"/>
        <v>0</v>
      </c>
      <c r="AG112">
        <f t="shared" si="102"/>
        <v>0</v>
      </c>
      <c r="AH112">
        <f t="shared" si="102"/>
        <v>0</v>
      </c>
      <c r="AI112">
        <f t="shared" si="102"/>
        <v>0</v>
      </c>
      <c r="AJ112">
        <f t="shared" si="102"/>
        <v>0</v>
      </c>
      <c r="AK112">
        <f t="shared" si="102"/>
        <v>0</v>
      </c>
      <c r="AL112">
        <f t="shared" si="102"/>
        <v>0</v>
      </c>
      <c r="AM112">
        <f t="shared" si="102"/>
        <v>0</v>
      </c>
      <c r="AN112">
        <f t="shared" si="102"/>
        <v>0</v>
      </c>
      <c r="AO112">
        <f t="shared" si="102"/>
        <v>0</v>
      </c>
      <c r="AP112">
        <f t="shared" si="102"/>
        <v>0</v>
      </c>
      <c r="AQ112">
        <f t="shared" si="102"/>
        <v>365</v>
      </c>
      <c r="AR112">
        <f t="shared" si="93"/>
        <v>335</v>
      </c>
      <c r="AS112">
        <f t="shared" si="93"/>
        <v>304</v>
      </c>
      <c r="AT112">
        <f t="shared" si="93"/>
        <v>273</v>
      </c>
      <c r="AU112">
        <f t="shared" si="93"/>
        <v>243</v>
      </c>
      <c r="AV112">
        <f t="shared" si="93"/>
        <v>212</v>
      </c>
      <c r="AW112">
        <f t="shared" si="93"/>
        <v>182</v>
      </c>
      <c r="AX112">
        <f t="shared" si="93"/>
        <v>151</v>
      </c>
      <c r="AY112">
        <f t="shared" si="94"/>
        <v>0</v>
      </c>
      <c r="AZ112">
        <f t="shared" si="95"/>
        <v>0</v>
      </c>
      <c r="BA112">
        <f t="shared" si="96"/>
        <v>0</v>
      </c>
      <c r="BB112">
        <f t="shared" si="97"/>
        <v>0</v>
      </c>
      <c r="BC112">
        <f t="shared" si="98"/>
        <v>0</v>
      </c>
      <c r="BD112">
        <f t="shared" si="99"/>
        <v>0</v>
      </c>
      <c r="BE112">
        <f t="shared" si="100"/>
        <v>0</v>
      </c>
      <c r="BF112">
        <f t="shared" si="101"/>
        <v>0</v>
      </c>
      <c r="BG112">
        <f t="shared" si="75"/>
        <v>0</v>
      </c>
      <c r="BH112">
        <f t="shared" si="76"/>
        <v>0</v>
      </c>
      <c r="BI112">
        <f t="shared" si="77"/>
        <v>0</v>
      </c>
      <c r="BJ112">
        <f t="shared" si="78"/>
        <v>0</v>
      </c>
      <c r="BK112">
        <f t="shared" si="79"/>
        <v>0</v>
      </c>
      <c r="BL112">
        <f t="shared" si="80"/>
        <v>0</v>
      </c>
      <c r="BM112">
        <f t="shared" si="81"/>
        <v>365</v>
      </c>
      <c r="BN112">
        <f t="shared" si="82"/>
        <v>335</v>
      </c>
      <c r="BO112">
        <f t="shared" si="83"/>
        <v>304</v>
      </c>
      <c r="BP112">
        <f t="shared" si="84"/>
        <v>273</v>
      </c>
      <c r="BQ112">
        <f t="shared" si="85"/>
        <v>243</v>
      </c>
      <c r="BR112">
        <f t="shared" si="86"/>
        <v>212</v>
      </c>
      <c r="BS112">
        <f t="shared" si="87"/>
        <v>182</v>
      </c>
      <c r="BT112">
        <f t="shared" si="88"/>
        <v>151</v>
      </c>
    </row>
    <row r="113" spans="1:72" ht="12.95" customHeight="1" x14ac:dyDescent="0.2">
      <c r="A113">
        <f t="shared" si="92"/>
        <v>2026</v>
      </c>
      <c r="B113">
        <f t="shared" si="65"/>
        <v>7</v>
      </c>
      <c r="C113">
        <f t="shared" si="66"/>
        <v>3</v>
      </c>
      <c r="D113" s="11">
        <f>prod!A110</f>
        <v>46204</v>
      </c>
      <c r="E113" s="11">
        <f t="shared" si="67"/>
        <v>46568</v>
      </c>
      <c r="F113" s="10" t="str">
        <f>prod!B110</f>
        <v>משאיות רכוש</v>
      </c>
      <c r="G113" s="10" t="str">
        <f>prod!C110</f>
        <v xml:space="preserve">קסקו משאיות  </v>
      </c>
      <c r="H113" s="10">
        <f>prod!D110</f>
        <v>772727</v>
      </c>
      <c r="I113" s="10">
        <f>SUMIFS(info!C:C,info!$A:$A,data!$A113,info!$B:$B,data!$G113)</f>
        <v>0.11</v>
      </c>
      <c r="J113" s="10">
        <f>SUMIFS(info!D:D,info!$A:$A,data!$A113,info!$B:$B,data!$G113)</f>
        <v>0.95</v>
      </c>
      <c r="K113" s="10">
        <f>SUMIFS(info!E:E,info!$A:$A,data!$A113,info!$B:$B,data!$G113)</f>
        <v>0.22</v>
      </c>
      <c r="L113" s="10">
        <f>SUMIFS(info!F:F,info!$A:$A,data!$A113,info!$B:$B,data!$G113)</f>
        <v>0.7</v>
      </c>
      <c r="M113" s="10">
        <f>IF(SUMIFS(info!$C$25:$C$27,info!$A$25:$A$27,data!A113,info!$B$25:$B$27,data!F113)&lt;=0,1,SUMIFS(info!$C$25:$C$27,info!$A$25:$A$27,data!A113,info!$B$25:$B$27,data!F113))*H113</f>
        <v>772727</v>
      </c>
      <c r="N113" s="10">
        <f t="shared" si="68"/>
        <v>734090.65</v>
      </c>
      <c r="O113" s="10">
        <f t="shared" si="69"/>
        <v>84999.97</v>
      </c>
      <c r="P113" s="10">
        <f t="shared" si="70"/>
        <v>161499.943</v>
      </c>
      <c r="Q113" s="10">
        <f t="shared" si="71"/>
        <v>540908.9</v>
      </c>
      <c r="R113" s="10">
        <f t="shared" si="72"/>
        <v>513863.45500000002</v>
      </c>
      <c r="S113" s="10">
        <f t="shared" si="73"/>
        <v>0</v>
      </c>
      <c r="T113" s="10">
        <f t="shared" ref="T113:Z128" si="103">IF($D113&gt;T$4,0,$M113*MAX(0,$E113-T$4)/($E113-$D113+1))</f>
        <v>0</v>
      </c>
      <c r="U113" s="10">
        <f t="shared" si="103"/>
        <v>0</v>
      </c>
      <c r="V113" s="10">
        <f t="shared" si="103"/>
        <v>0</v>
      </c>
      <c r="W113" s="10">
        <f t="shared" si="103"/>
        <v>0</v>
      </c>
      <c r="X113" s="10">
        <f t="shared" si="103"/>
        <v>0</v>
      </c>
      <c r="Y113" s="10">
        <f t="shared" si="103"/>
        <v>577957.45479452051</v>
      </c>
      <c r="Z113" s="10">
        <f t="shared" si="103"/>
        <v>383187.90958904108</v>
      </c>
      <c r="AA113" s="10"/>
      <c r="AB113" s="10"/>
      <c r="AC113">
        <f t="shared" si="102"/>
        <v>0</v>
      </c>
      <c r="AD113">
        <f t="shared" si="102"/>
        <v>0</v>
      </c>
      <c r="AE113">
        <f t="shared" si="102"/>
        <v>0</v>
      </c>
      <c r="AF113">
        <f t="shared" si="102"/>
        <v>0</v>
      </c>
      <c r="AG113">
        <f t="shared" si="102"/>
        <v>0</v>
      </c>
      <c r="AH113">
        <f t="shared" si="102"/>
        <v>0</v>
      </c>
      <c r="AI113">
        <f t="shared" si="102"/>
        <v>0</v>
      </c>
      <c r="AJ113">
        <f t="shared" si="102"/>
        <v>0</v>
      </c>
      <c r="AK113">
        <f t="shared" si="102"/>
        <v>0</v>
      </c>
      <c r="AL113">
        <f t="shared" si="102"/>
        <v>0</v>
      </c>
      <c r="AM113">
        <f t="shared" si="102"/>
        <v>0</v>
      </c>
      <c r="AN113">
        <f t="shared" si="102"/>
        <v>0</v>
      </c>
      <c r="AO113">
        <f t="shared" si="102"/>
        <v>0</v>
      </c>
      <c r="AP113">
        <f t="shared" si="102"/>
        <v>0</v>
      </c>
      <c r="AQ113">
        <f t="shared" si="102"/>
        <v>0</v>
      </c>
      <c r="AR113">
        <f t="shared" si="93"/>
        <v>365</v>
      </c>
      <c r="AS113">
        <f t="shared" si="93"/>
        <v>334</v>
      </c>
      <c r="AT113">
        <f t="shared" si="93"/>
        <v>303</v>
      </c>
      <c r="AU113">
        <f t="shared" si="93"/>
        <v>273</v>
      </c>
      <c r="AV113">
        <f t="shared" si="93"/>
        <v>242</v>
      </c>
      <c r="AW113">
        <f t="shared" si="93"/>
        <v>212</v>
      </c>
      <c r="AX113">
        <f t="shared" si="93"/>
        <v>181</v>
      </c>
      <c r="AY113">
        <f t="shared" si="94"/>
        <v>0</v>
      </c>
      <c r="AZ113">
        <f t="shared" si="95"/>
        <v>0</v>
      </c>
      <c r="BA113">
        <f t="shared" si="96"/>
        <v>0</v>
      </c>
      <c r="BB113">
        <f t="shared" si="97"/>
        <v>0</v>
      </c>
      <c r="BC113">
        <f t="shared" si="98"/>
        <v>0</v>
      </c>
      <c r="BD113">
        <f t="shared" si="99"/>
        <v>0</v>
      </c>
      <c r="BE113">
        <f t="shared" si="100"/>
        <v>0</v>
      </c>
      <c r="BF113">
        <f t="shared" si="101"/>
        <v>0</v>
      </c>
      <c r="BG113">
        <f t="shared" si="75"/>
        <v>0</v>
      </c>
      <c r="BH113">
        <f t="shared" si="76"/>
        <v>0</v>
      </c>
      <c r="BI113">
        <f t="shared" si="77"/>
        <v>0</v>
      </c>
      <c r="BJ113">
        <f t="shared" si="78"/>
        <v>0</v>
      </c>
      <c r="BK113">
        <f t="shared" si="79"/>
        <v>0</v>
      </c>
      <c r="BL113">
        <f t="shared" si="80"/>
        <v>0</v>
      </c>
      <c r="BM113">
        <f t="shared" si="81"/>
        <v>0</v>
      </c>
      <c r="BN113">
        <f t="shared" si="82"/>
        <v>365</v>
      </c>
      <c r="BO113">
        <f t="shared" si="83"/>
        <v>334</v>
      </c>
      <c r="BP113">
        <f t="shared" si="84"/>
        <v>303</v>
      </c>
      <c r="BQ113">
        <f t="shared" si="85"/>
        <v>273</v>
      </c>
      <c r="BR113">
        <f t="shared" si="86"/>
        <v>242</v>
      </c>
      <c r="BS113">
        <f t="shared" si="87"/>
        <v>212</v>
      </c>
      <c r="BT113">
        <f t="shared" si="88"/>
        <v>181</v>
      </c>
    </row>
    <row r="114" spans="1:72" ht="12.95" customHeight="1" x14ac:dyDescent="0.2">
      <c r="A114">
        <f t="shared" si="92"/>
        <v>2026</v>
      </c>
      <c r="B114">
        <f t="shared" si="65"/>
        <v>8</v>
      </c>
      <c r="C114">
        <f t="shared" si="66"/>
        <v>3</v>
      </c>
      <c r="D114" s="11">
        <f>prod!A111</f>
        <v>46235</v>
      </c>
      <c r="E114" s="11">
        <f t="shared" si="67"/>
        <v>46599</v>
      </c>
      <c r="F114" s="10" t="str">
        <f>prod!B111</f>
        <v>משאיות רכוש</v>
      </c>
      <c r="G114" s="10" t="str">
        <f>prod!C111</f>
        <v xml:space="preserve">קסקו משאיות  </v>
      </c>
      <c r="H114" s="10">
        <f>prod!D111</f>
        <v>938477</v>
      </c>
      <c r="I114" s="10">
        <f>SUMIFS(info!C:C,info!$A:$A,data!$A114,info!$B:$B,data!$G114)</f>
        <v>0.11</v>
      </c>
      <c r="J114" s="10">
        <f>SUMIFS(info!D:D,info!$A:$A,data!$A114,info!$B:$B,data!$G114)</f>
        <v>0.95</v>
      </c>
      <c r="K114" s="10">
        <f>SUMIFS(info!E:E,info!$A:$A,data!$A114,info!$B:$B,data!$G114)</f>
        <v>0.22</v>
      </c>
      <c r="L114" s="10">
        <f>SUMIFS(info!F:F,info!$A:$A,data!$A114,info!$B:$B,data!$G114)</f>
        <v>0.7</v>
      </c>
      <c r="M114" s="10">
        <f>IF(SUMIFS(info!$C$25:$C$27,info!$A$25:$A$27,data!A114,info!$B$25:$B$27,data!F114)&lt;=0,1,SUMIFS(info!$C$25:$C$27,info!$A$25:$A$27,data!A114,info!$B$25:$B$27,data!F114))*H114</f>
        <v>938477</v>
      </c>
      <c r="N114" s="10">
        <f t="shared" si="68"/>
        <v>891553.14999999991</v>
      </c>
      <c r="O114" s="10">
        <f t="shared" si="69"/>
        <v>103232.47</v>
      </c>
      <c r="P114" s="10">
        <f t="shared" si="70"/>
        <v>196141.69299999997</v>
      </c>
      <c r="Q114" s="10">
        <f t="shared" si="71"/>
        <v>656933.89999999991</v>
      </c>
      <c r="R114" s="10">
        <f t="shared" si="72"/>
        <v>624087.20499999984</v>
      </c>
      <c r="S114" s="10">
        <f t="shared" si="73"/>
        <v>0</v>
      </c>
      <c r="T114" s="10">
        <f t="shared" si="103"/>
        <v>0</v>
      </c>
      <c r="U114" s="10">
        <f t="shared" si="103"/>
        <v>0</v>
      </c>
      <c r="V114" s="10">
        <f t="shared" si="103"/>
        <v>0</v>
      </c>
      <c r="W114" s="10">
        <f t="shared" si="103"/>
        <v>0</v>
      </c>
      <c r="X114" s="10">
        <f t="shared" si="103"/>
        <v>0</v>
      </c>
      <c r="Y114" s="10">
        <f t="shared" si="103"/>
        <v>781635.63835616433</v>
      </c>
      <c r="Z114" s="10">
        <f t="shared" si="103"/>
        <v>545088.01095890417</v>
      </c>
      <c r="AA114" s="10"/>
      <c r="AB114" s="10"/>
      <c r="AC114">
        <f t="shared" si="102"/>
        <v>0</v>
      </c>
      <c r="AD114">
        <f t="shared" si="102"/>
        <v>0</v>
      </c>
      <c r="AE114">
        <f t="shared" si="102"/>
        <v>0</v>
      </c>
      <c r="AF114">
        <f t="shared" si="102"/>
        <v>0</v>
      </c>
      <c r="AG114">
        <f t="shared" si="102"/>
        <v>0</v>
      </c>
      <c r="AH114">
        <f t="shared" si="102"/>
        <v>0</v>
      </c>
      <c r="AI114">
        <f t="shared" si="102"/>
        <v>0</v>
      </c>
      <c r="AJ114">
        <f t="shared" si="102"/>
        <v>0</v>
      </c>
      <c r="AK114">
        <f t="shared" si="102"/>
        <v>0</v>
      </c>
      <c r="AL114">
        <f t="shared" si="102"/>
        <v>0</v>
      </c>
      <c r="AM114">
        <f t="shared" si="102"/>
        <v>0</v>
      </c>
      <c r="AN114">
        <f t="shared" si="102"/>
        <v>0</v>
      </c>
      <c r="AO114">
        <f t="shared" si="102"/>
        <v>0</v>
      </c>
      <c r="AP114">
        <f t="shared" si="102"/>
        <v>0</v>
      </c>
      <c r="AQ114">
        <f t="shared" si="102"/>
        <v>0</v>
      </c>
      <c r="AR114">
        <f t="shared" si="93"/>
        <v>0</v>
      </c>
      <c r="AS114">
        <f t="shared" si="93"/>
        <v>365</v>
      </c>
      <c r="AT114">
        <f t="shared" si="93"/>
        <v>334</v>
      </c>
      <c r="AU114">
        <f t="shared" si="93"/>
        <v>304</v>
      </c>
      <c r="AV114">
        <f t="shared" si="93"/>
        <v>273</v>
      </c>
      <c r="AW114">
        <f t="shared" si="93"/>
        <v>243</v>
      </c>
      <c r="AX114">
        <f t="shared" si="93"/>
        <v>212</v>
      </c>
      <c r="AY114">
        <f t="shared" si="94"/>
        <v>0</v>
      </c>
      <c r="AZ114">
        <f t="shared" si="95"/>
        <v>0</v>
      </c>
      <c r="BA114">
        <f t="shared" si="96"/>
        <v>0</v>
      </c>
      <c r="BB114">
        <f t="shared" si="97"/>
        <v>0</v>
      </c>
      <c r="BC114">
        <f t="shared" si="98"/>
        <v>0</v>
      </c>
      <c r="BD114">
        <f t="shared" si="99"/>
        <v>0</v>
      </c>
      <c r="BE114">
        <f t="shared" si="100"/>
        <v>0</v>
      </c>
      <c r="BF114">
        <f t="shared" si="101"/>
        <v>0</v>
      </c>
      <c r="BG114">
        <f t="shared" si="75"/>
        <v>0</v>
      </c>
      <c r="BH114">
        <f t="shared" si="76"/>
        <v>0</v>
      </c>
      <c r="BI114">
        <f t="shared" si="77"/>
        <v>0</v>
      </c>
      <c r="BJ114">
        <f t="shared" si="78"/>
        <v>0</v>
      </c>
      <c r="BK114">
        <f t="shared" si="79"/>
        <v>0</v>
      </c>
      <c r="BL114">
        <f t="shared" si="80"/>
        <v>0</v>
      </c>
      <c r="BM114">
        <f t="shared" si="81"/>
        <v>0</v>
      </c>
      <c r="BN114">
        <f t="shared" si="82"/>
        <v>0</v>
      </c>
      <c r="BO114">
        <f t="shared" si="83"/>
        <v>365</v>
      </c>
      <c r="BP114">
        <f t="shared" si="84"/>
        <v>334</v>
      </c>
      <c r="BQ114">
        <f t="shared" si="85"/>
        <v>304</v>
      </c>
      <c r="BR114">
        <f t="shared" si="86"/>
        <v>273</v>
      </c>
      <c r="BS114">
        <f t="shared" si="87"/>
        <v>243</v>
      </c>
      <c r="BT114">
        <f t="shared" si="88"/>
        <v>212</v>
      </c>
    </row>
    <row r="115" spans="1:72" ht="12.95" customHeight="1" x14ac:dyDescent="0.2">
      <c r="A115">
        <f t="shared" si="92"/>
        <v>2026</v>
      </c>
      <c r="B115">
        <f t="shared" si="65"/>
        <v>9</v>
      </c>
      <c r="C115">
        <f t="shared" si="66"/>
        <v>3</v>
      </c>
      <c r="D115" s="11">
        <f>prod!A112</f>
        <v>46266</v>
      </c>
      <c r="E115" s="11">
        <f t="shared" si="67"/>
        <v>46630</v>
      </c>
      <c r="F115" s="10" t="str">
        <f>prod!B112</f>
        <v>משאיות רכוש</v>
      </c>
      <c r="G115" s="10" t="str">
        <f>prod!C112</f>
        <v xml:space="preserve">קסקו משאיות  </v>
      </c>
      <c r="H115" s="10">
        <f>prod!D112</f>
        <v>1403852</v>
      </c>
      <c r="I115" s="10">
        <f>SUMIFS(info!C:C,info!$A:$A,data!$A115,info!$B:$B,data!$G115)</f>
        <v>0.11</v>
      </c>
      <c r="J115" s="10">
        <f>SUMIFS(info!D:D,info!$A:$A,data!$A115,info!$B:$B,data!$G115)</f>
        <v>0.95</v>
      </c>
      <c r="K115" s="10">
        <f>SUMIFS(info!E:E,info!$A:$A,data!$A115,info!$B:$B,data!$G115)</f>
        <v>0.22</v>
      </c>
      <c r="L115" s="10">
        <f>SUMIFS(info!F:F,info!$A:$A,data!$A115,info!$B:$B,data!$G115)</f>
        <v>0.7</v>
      </c>
      <c r="M115" s="10">
        <f>IF(SUMIFS(info!$C$25:$C$27,info!$A$25:$A$27,data!A115,info!$B$25:$B$27,data!F115)&lt;=0,1,SUMIFS(info!$C$25:$C$27,info!$A$25:$A$27,data!A115,info!$B$25:$B$27,data!F115))*H115</f>
        <v>1403852</v>
      </c>
      <c r="N115" s="10">
        <f t="shared" si="68"/>
        <v>1333659.3999999999</v>
      </c>
      <c r="O115" s="10">
        <f t="shared" si="69"/>
        <v>154423.72</v>
      </c>
      <c r="P115" s="10">
        <f t="shared" si="70"/>
        <v>293405.06799999997</v>
      </c>
      <c r="Q115" s="10">
        <f t="shared" si="71"/>
        <v>982696.39999999991</v>
      </c>
      <c r="R115" s="10">
        <f t="shared" si="72"/>
        <v>933561.57999999984</v>
      </c>
      <c r="S115" s="10">
        <f t="shared" si="73"/>
        <v>0</v>
      </c>
      <c r="T115" s="10">
        <f t="shared" si="103"/>
        <v>0</v>
      </c>
      <c r="U115" s="10">
        <f t="shared" si="103"/>
        <v>0</v>
      </c>
      <c r="V115" s="10">
        <f t="shared" si="103"/>
        <v>0</v>
      </c>
      <c r="W115" s="10">
        <f t="shared" si="103"/>
        <v>0</v>
      </c>
      <c r="X115" s="10">
        <f t="shared" si="103"/>
        <v>0</v>
      </c>
      <c r="Y115" s="10">
        <f t="shared" si="103"/>
        <v>1288466.9041095891</v>
      </c>
      <c r="Z115" s="10">
        <f t="shared" si="103"/>
        <v>934619.27671232878</v>
      </c>
      <c r="AA115" s="10"/>
      <c r="AB115" s="10"/>
      <c r="AC115">
        <f t="shared" si="102"/>
        <v>0</v>
      </c>
      <c r="AD115">
        <f t="shared" si="102"/>
        <v>0</v>
      </c>
      <c r="AE115">
        <f t="shared" si="102"/>
        <v>0</v>
      </c>
      <c r="AF115">
        <f t="shared" si="102"/>
        <v>0</v>
      </c>
      <c r="AG115">
        <f t="shared" si="102"/>
        <v>0</v>
      </c>
      <c r="AH115">
        <f t="shared" si="102"/>
        <v>0</v>
      </c>
      <c r="AI115">
        <f t="shared" si="102"/>
        <v>0</v>
      </c>
      <c r="AJ115">
        <f t="shared" si="102"/>
        <v>0</v>
      </c>
      <c r="AK115">
        <f t="shared" si="102"/>
        <v>0</v>
      </c>
      <c r="AL115">
        <f t="shared" si="102"/>
        <v>0</v>
      </c>
      <c r="AM115">
        <f t="shared" si="102"/>
        <v>0</v>
      </c>
      <c r="AN115">
        <f t="shared" si="102"/>
        <v>0</v>
      </c>
      <c r="AO115">
        <f t="shared" si="102"/>
        <v>0</v>
      </c>
      <c r="AP115">
        <f t="shared" si="102"/>
        <v>0</v>
      </c>
      <c r="AQ115">
        <f t="shared" si="102"/>
        <v>0</v>
      </c>
      <c r="AR115">
        <f t="shared" si="93"/>
        <v>0</v>
      </c>
      <c r="AS115">
        <f t="shared" si="93"/>
        <v>0</v>
      </c>
      <c r="AT115">
        <f t="shared" si="93"/>
        <v>365</v>
      </c>
      <c r="AU115">
        <f t="shared" si="93"/>
        <v>335</v>
      </c>
      <c r="AV115">
        <f t="shared" si="93"/>
        <v>304</v>
      </c>
      <c r="AW115">
        <f t="shared" si="93"/>
        <v>274</v>
      </c>
      <c r="AX115">
        <f t="shared" si="93"/>
        <v>243</v>
      </c>
      <c r="AY115">
        <f t="shared" si="94"/>
        <v>0</v>
      </c>
      <c r="AZ115">
        <f t="shared" si="95"/>
        <v>0</v>
      </c>
      <c r="BA115">
        <f t="shared" si="96"/>
        <v>0</v>
      </c>
      <c r="BB115">
        <f t="shared" si="97"/>
        <v>0</v>
      </c>
      <c r="BC115">
        <f t="shared" si="98"/>
        <v>0</v>
      </c>
      <c r="BD115">
        <f t="shared" si="99"/>
        <v>0</v>
      </c>
      <c r="BE115">
        <f t="shared" si="100"/>
        <v>0</v>
      </c>
      <c r="BF115">
        <f t="shared" si="101"/>
        <v>0</v>
      </c>
      <c r="BG115">
        <f t="shared" si="75"/>
        <v>0</v>
      </c>
      <c r="BH115">
        <f t="shared" si="76"/>
        <v>0</v>
      </c>
      <c r="BI115">
        <f t="shared" si="77"/>
        <v>0</v>
      </c>
      <c r="BJ115">
        <f t="shared" si="78"/>
        <v>0</v>
      </c>
      <c r="BK115">
        <f t="shared" si="79"/>
        <v>0</v>
      </c>
      <c r="BL115">
        <f t="shared" si="80"/>
        <v>0</v>
      </c>
      <c r="BM115">
        <f t="shared" si="81"/>
        <v>0</v>
      </c>
      <c r="BN115">
        <f t="shared" si="82"/>
        <v>0</v>
      </c>
      <c r="BO115">
        <f t="shared" si="83"/>
        <v>0</v>
      </c>
      <c r="BP115">
        <f t="shared" si="84"/>
        <v>365</v>
      </c>
      <c r="BQ115">
        <f t="shared" si="85"/>
        <v>335</v>
      </c>
      <c r="BR115">
        <f t="shared" si="86"/>
        <v>304</v>
      </c>
      <c r="BS115">
        <f t="shared" si="87"/>
        <v>274</v>
      </c>
      <c r="BT115">
        <f t="shared" si="88"/>
        <v>243</v>
      </c>
    </row>
    <row r="116" spans="1:72" ht="12.95" customHeight="1" x14ac:dyDescent="0.2">
      <c r="A116">
        <f t="shared" si="92"/>
        <v>2026</v>
      </c>
      <c r="B116">
        <f t="shared" si="65"/>
        <v>10</v>
      </c>
      <c r="C116">
        <f t="shared" si="66"/>
        <v>4</v>
      </c>
      <c r="D116" s="11">
        <f>prod!A113</f>
        <v>46296</v>
      </c>
      <c r="E116" s="11">
        <f t="shared" si="67"/>
        <v>46660</v>
      </c>
      <c r="F116" s="10" t="str">
        <f>prod!B113</f>
        <v>משאיות רכוש</v>
      </c>
      <c r="G116" s="10" t="str">
        <f>prod!C113</f>
        <v xml:space="preserve">קסקו משאיות  </v>
      </c>
      <c r="H116" s="10">
        <f>prod!D113</f>
        <v>1276352</v>
      </c>
      <c r="I116" s="10">
        <f>SUMIFS(info!C:C,info!$A:$A,data!$A116,info!$B:$B,data!$G116)</f>
        <v>0.11</v>
      </c>
      <c r="J116" s="10">
        <f>SUMIFS(info!D:D,info!$A:$A,data!$A116,info!$B:$B,data!$G116)</f>
        <v>0.95</v>
      </c>
      <c r="K116" s="10">
        <f>SUMIFS(info!E:E,info!$A:$A,data!$A116,info!$B:$B,data!$G116)</f>
        <v>0.22</v>
      </c>
      <c r="L116" s="10">
        <f>SUMIFS(info!F:F,info!$A:$A,data!$A116,info!$B:$B,data!$G116)</f>
        <v>0.7</v>
      </c>
      <c r="M116" s="10">
        <f>IF(SUMIFS(info!$C$25:$C$27,info!$A$25:$A$27,data!A116,info!$B$25:$B$27,data!F116)&lt;=0,1,SUMIFS(info!$C$25:$C$27,info!$A$25:$A$27,data!A116,info!$B$25:$B$27,data!F116))*H116</f>
        <v>1276352</v>
      </c>
      <c r="N116" s="10">
        <f t="shared" si="68"/>
        <v>1212534.3999999999</v>
      </c>
      <c r="O116" s="10">
        <f t="shared" si="69"/>
        <v>140398.72</v>
      </c>
      <c r="P116" s="10">
        <f t="shared" si="70"/>
        <v>266757.56799999997</v>
      </c>
      <c r="Q116" s="10">
        <f t="shared" si="71"/>
        <v>893446.39999999991</v>
      </c>
      <c r="R116" s="10">
        <f t="shared" si="72"/>
        <v>848774.07999999984</v>
      </c>
      <c r="S116" s="10">
        <f t="shared" si="73"/>
        <v>0</v>
      </c>
      <c r="T116" s="10">
        <f t="shared" si="103"/>
        <v>0</v>
      </c>
      <c r="U116" s="10">
        <f t="shared" si="103"/>
        <v>0</v>
      </c>
      <c r="V116" s="10">
        <f t="shared" si="103"/>
        <v>0</v>
      </c>
      <c r="W116" s="10">
        <f t="shared" si="103"/>
        <v>0</v>
      </c>
      <c r="X116" s="10">
        <f t="shared" si="103"/>
        <v>0</v>
      </c>
      <c r="Y116" s="10">
        <f t="shared" si="103"/>
        <v>0</v>
      </c>
      <c r="Z116" s="10">
        <f t="shared" si="103"/>
        <v>954641.35890410957</v>
      </c>
      <c r="AA116" s="10"/>
      <c r="AB116" s="10"/>
      <c r="AC116">
        <f t="shared" si="102"/>
        <v>0</v>
      </c>
      <c r="AD116">
        <f t="shared" si="102"/>
        <v>0</v>
      </c>
      <c r="AE116">
        <f t="shared" si="102"/>
        <v>0</v>
      </c>
      <c r="AF116">
        <f t="shared" si="102"/>
        <v>0</v>
      </c>
      <c r="AG116">
        <f t="shared" si="102"/>
        <v>0</v>
      </c>
      <c r="AH116">
        <f t="shared" si="102"/>
        <v>0</v>
      </c>
      <c r="AI116">
        <f t="shared" si="102"/>
        <v>0</v>
      </c>
      <c r="AJ116">
        <f t="shared" si="102"/>
        <v>0</v>
      </c>
      <c r="AK116">
        <f t="shared" si="102"/>
        <v>0</v>
      </c>
      <c r="AL116">
        <f t="shared" si="102"/>
        <v>0</v>
      </c>
      <c r="AM116">
        <f t="shared" si="102"/>
        <v>0</v>
      </c>
      <c r="AN116">
        <f t="shared" si="102"/>
        <v>0</v>
      </c>
      <c r="AO116">
        <f t="shared" si="102"/>
        <v>0</v>
      </c>
      <c r="AP116">
        <f t="shared" si="102"/>
        <v>0</v>
      </c>
      <c r="AQ116">
        <f t="shared" si="102"/>
        <v>0</v>
      </c>
      <c r="AR116">
        <f t="shared" si="93"/>
        <v>0</v>
      </c>
      <c r="AS116">
        <f t="shared" si="93"/>
        <v>0</v>
      </c>
      <c r="AT116">
        <f t="shared" si="93"/>
        <v>0</v>
      </c>
      <c r="AU116">
        <f t="shared" si="93"/>
        <v>365</v>
      </c>
      <c r="AV116">
        <f t="shared" si="93"/>
        <v>334</v>
      </c>
      <c r="AW116">
        <f t="shared" si="93"/>
        <v>304</v>
      </c>
      <c r="AX116">
        <f t="shared" si="93"/>
        <v>273</v>
      </c>
      <c r="AY116">
        <f t="shared" si="94"/>
        <v>0</v>
      </c>
      <c r="AZ116">
        <f t="shared" si="95"/>
        <v>0</v>
      </c>
      <c r="BA116">
        <f t="shared" si="96"/>
        <v>0</v>
      </c>
      <c r="BB116">
        <f t="shared" si="97"/>
        <v>0</v>
      </c>
      <c r="BC116">
        <f t="shared" si="98"/>
        <v>0</v>
      </c>
      <c r="BD116">
        <f t="shared" si="99"/>
        <v>0</v>
      </c>
      <c r="BE116">
        <f t="shared" si="100"/>
        <v>0</v>
      </c>
      <c r="BF116">
        <f t="shared" si="101"/>
        <v>0</v>
      </c>
      <c r="BG116">
        <f t="shared" si="75"/>
        <v>0</v>
      </c>
      <c r="BH116">
        <f t="shared" si="76"/>
        <v>0</v>
      </c>
      <c r="BI116">
        <f t="shared" si="77"/>
        <v>0</v>
      </c>
      <c r="BJ116">
        <f t="shared" si="78"/>
        <v>0</v>
      </c>
      <c r="BK116">
        <f t="shared" si="79"/>
        <v>0</v>
      </c>
      <c r="BL116">
        <f t="shared" si="80"/>
        <v>0</v>
      </c>
      <c r="BM116">
        <f t="shared" si="81"/>
        <v>0</v>
      </c>
      <c r="BN116">
        <f t="shared" si="82"/>
        <v>0</v>
      </c>
      <c r="BO116">
        <f t="shared" si="83"/>
        <v>0</v>
      </c>
      <c r="BP116">
        <f t="shared" si="84"/>
        <v>0</v>
      </c>
      <c r="BQ116">
        <f t="shared" si="85"/>
        <v>365</v>
      </c>
      <c r="BR116">
        <f t="shared" si="86"/>
        <v>334</v>
      </c>
      <c r="BS116">
        <f t="shared" si="87"/>
        <v>304</v>
      </c>
      <c r="BT116">
        <f t="shared" si="88"/>
        <v>273</v>
      </c>
    </row>
    <row r="117" spans="1:72" ht="12.95" customHeight="1" x14ac:dyDescent="0.2">
      <c r="A117">
        <f t="shared" si="92"/>
        <v>2026</v>
      </c>
      <c r="B117">
        <f t="shared" si="65"/>
        <v>11</v>
      </c>
      <c r="C117">
        <f t="shared" si="66"/>
        <v>4</v>
      </c>
      <c r="D117" s="11">
        <f>prod!A114</f>
        <v>46327</v>
      </c>
      <c r="E117" s="11">
        <f t="shared" si="67"/>
        <v>46691</v>
      </c>
      <c r="F117" s="10" t="str">
        <f>prod!B114</f>
        <v>משאיות רכוש</v>
      </c>
      <c r="G117" s="10" t="str">
        <f>prod!C114</f>
        <v xml:space="preserve">קסקו משאיות  </v>
      </c>
      <c r="H117" s="10">
        <f>prod!D114</f>
        <v>1690727</v>
      </c>
      <c r="I117" s="10">
        <f>SUMIFS(info!C:C,info!$A:$A,data!$A117,info!$B:$B,data!$G117)</f>
        <v>0.11</v>
      </c>
      <c r="J117" s="10">
        <f>SUMIFS(info!D:D,info!$A:$A,data!$A117,info!$B:$B,data!$G117)</f>
        <v>0.95</v>
      </c>
      <c r="K117" s="10">
        <f>SUMIFS(info!E:E,info!$A:$A,data!$A117,info!$B:$B,data!$G117)</f>
        <v>0.22</v>
      </c>
      <c r="L117" s="10">
        <f>SUMIFS(info!F:F,info!$A:$A,data!$A117,info!$B:$B,data!$G117)</f>
        <v>0.7</v>
      </c>
      <c r="M117" s="10">
        <f>IF(SUMIFS(info!$C$25:$C$27,info!$A$25:$A$27,data!A117,info!$B$25:$B$27,data!F117)&lt;=0,1,SUMIFS(info!$C$25:$C$27,info!$A$25:$A$27,data!A117,info!$B$25:$B$27,data!F117))*H117</f>
        <v>1690727</v>
      </c>
      <c r="N117" s="10">
        <f t="shared" si="68"/>
        <v>1606190.65</v>
      </c>
      <c r="O117" s="10">
        <f t="shared" si="69"/>
        <v>185979.97</v>
      </c>
      <c r="P117" s="10">
        <f t="shared" si="70"/>
        <v>353361.94299999997</v>
      </c>
      <c r="Q117" s="10">
        <f t="shared" si="71"/>
        <v>1183508.8999999999</v>
      </c>
      <c r="R117" s="10">
        <f t="shared" si="72"/>
        <v>1124333.4549999998</v>
      </c>
      <c r="S117" s="10">
        <f t="shared" si="73"/>
        <v>0</v>
      </c>
      <c r="T117" s="10">
        <f t="shared" si="103"/>
        <v>0</v>
      </c>
      <c r="U117" s="10">
        <f t="shared" si="103"/>
        <v>0</v>
      </c>
      <c r="V117" s="10">
        <f t="shared" si="103"/>
        <v>0</v>
      </c>
      <c r="W117" s="10">
        <f t="shared" si="103"/>
        <v>0</v>
      </c>
      <c r="X117" s="10">
        <f t="shared" si="103"/>
        <v>0</v>
      </c>
      <c r="Y117" s="10">
        <f t="shared" si="103"/>
        <v>0</v>
      </c>
      <c r="Z117" s="10">
        <f t="shared" si="103"/>
        <v>1408167.1452054793</v>
      </c>
      <c r="AA117" s="10"/>
      <c r="AB117" s="10"/>
      <c r="AC117">
        <f t="shared" si="102"/>
        <v>0</v>
      </c>
      <c r="AD117">
        <f t="shared" si="102"/>
        <v>0</v>
      </c>
      <c r="AE117">
        <f t="shared" si="102"/>
        <v>0</v>
      </c>
      <c r="AF117">
        <f t="shared" si="102"/>
        <v>0</v>
      </c>
      <c r="AG117">
        <f t="shared" si="102"/>
        <v>0</v>
      </c>
      <c r="AH117">
        <f t="shared" si="102"/>
        <v>0</v>
      </c>
      <c r="AI117">
        <f t="shared" si="102"/>
        <v>0</v>
      </c>
      <c r="AJ117">
        <f t="shared" si="102"/>
        <v>0</v>
      </c>
      <c r="AK117">
        <f t="shared" si="102"/>
        <v>0</v>
      </c>
      <c r="AL117">
        <f t="shared" si="102"/>
        <v>0</v>
      </c>
      <c r="AM117">
        <f t="shared" si="102"/>
        <v>0</v>
      </c>
      <c r="AN117">
        <f t="shared" si="102"/>
        <v>0</v>
      </c>
      <c r="AO117">
        <f t="shared" si="102"/>
        <v>0</v>
      </c>
      <c r="AP117">
        <f t="shared" si="102"/>
        <v>0</v>
      </c>
      <c r="AQ117">
        <f t="shared" si="102"/>
        <v>0</v>
      </c>
      <c r="AR117">
        <f t="shared" si="102"/>
        <v>0</v>
      </c>
      <c r="AS117">
        <f t="shared" ref="AS117:AX132" si="104">IF(($E117-AS$4)&gt;365,0,($E117-AS$4))</f>
        <v>0</v>
      </c>
      <c r="AT117">
        <f t="shared" si="104"/>
        <v>0</v>
      </c>
      <c r="AU117">
        <f t="shared" si="104"/>
        <v>0</v>
      </c>
      <c r="AV117">
        <f t="shared" si="104"/>
        <v>365</v>
      </c>
      <c r="AW117">
        <f t="shared" si="104"/>
        <v>335</v>
      </c>
      <c r="AX117">
        <f t="shared" si="104"/>
        <v>304</v>
      </c>
      <c r="AY117">
        <f t="shared" si="94"/>
        <v>0</v>
      </c>
      <c r="AZ117">
        <f t="shared" si="95"/>
        <v>0</v>
      </c>
      <c r="BA117">
        <f t="shared" si="96"/>
        <v>0</v>
      </c>
      <c r="BB117">
        <f t="shared" si="97"/>
        <v>0</v>
      </c>
      <c r="BC117">
        <f t="shared" si="98"/>
        <v>0</v>
      </c>
      <c r="BD117">
        <f t="shared" si="99"/>
        <v>0</v>
      </c>
      <c r="BE117">
        <f t="shared" si="100"/>
        <v>0</v>
      </c>
      <c r="BF117">
        <f t="shared" si="101"/>
        <v>0</v>
      </c>
      <c r="BG117">
        <f t="shared" si="75"/>
        <v>0</v>
      </c>
      <c r="BH117">
        <f t="shared" si="76"/>
        <v>0</v>
      </c>
      <c r="BI117">
        <f t="shared" si="77"/>
        <v>0</v>
      </c>
      <c r="BJ117">
        <f t="shared" si="78"/>
        <v>0</v>
      </c>
      <c r="BK117">
        <f t="shared" si="79"/>
        <v>0</v>
      </c>
      <c r="BL117">
        <f t="shared" si="80"/>
        <v>0</v>
      </c>
      <c r="BM117">
        <f t="shared" si="81"/>
        <v>0</v>
      </c>
      <c r="BN117">
        <f t="shared" si="82"/>
        <v>0</v>
      </c>
      <c r="BO117">
        <f t="shared" si="83"/>
        <v>0</v>
      </c>
      <c r="BP117">
        <f t="shared" si="84"/>
        <v>0</v>
      </c>
      <c r="BQ117">
        <f t="shared" si="85"/>
        <v>0</v>
      </c>
      <c r="BR117">
        <f t="shared" si="86"/>
        <v>365</v>
      </c>
      <c r="BS117">
        <f t="shared" si="87"/>
        <v>335</v>
      </c>
      <c r="BT117">
        <f t="shared" si="88"/>
        <v>304</v>
      </c>
    </row>
    <row r="118" spans="1:72" ht="12.95" customHeight="1" x14ac:dyDescent="0.2">
      <c r="A118">
        <f t="shared" si="92"/>
        <v>2026</v>
      </c>
      <c r="B118">
        <f t="shared" si="65"/>
        <v>12</v>
      </c>
      <c r="C118">
        <f t="shared" si="66"/>
        <v>4</v>
      </c>
      <c r="D118" s="11">
        <f>prod!A115</f>
        <v>46357</v>
      </c>
      <c r="E118" s="11">
        <f t="shared" si="67"/>
        <v>46721</v>
      </c>
      <c r="F118" s="10" t="str">
        <f>prod!B115</f>
        <v>משאיות רכוש</v>
      </c>
      <c r="G118" s="10" t="str">
        <f>prod!C115</f>
        <v xml:space="preserve">קסקו משאיות  </v>
      </c>
      <c r="H118" s="10">
        <f>prod!D115</f>
        <v>3061352</v>
      </c>
      <c r="I118" s="10">
        <f>SUMIFS(info!C:C,info!$A:$A,data!$A118,info!$B:$B,data!$G118)</f>
        <v>0.11</v>
      </c>
      <c r="J118" s="10">
        <f>SUMIFS(info!D:D,info!$A:$A,data!$A118,info!$B:$B,data!$G118)</f>
        <v>0.95</v>
      </c>
      <c r="K118" s="10">
        <f>SUMIFS(info!E:E,info!$A:$A,data!$A118,info!$B:$B,data!$G118)</f>
        <v>0.22</v>
      </c>
      <c r="L118" s="10">
        <f>SUMIFS(info!F:F,info!$A:$A,data!$A118,info!$B:$B,data!$G118)</f>
        <v>0.7</v>
      </c>
      <c r="M118" s="10">
        <f>IF(SUMIFS(info!$C$25:$C$27,info!$A$25:$A$27,data!A118,info!$B$25:$B$27,data!F118)&lt;=0,1,SUMIFS(info!$C$25:$C$27,info!$A$25:$A$27,data!A118,info!$B$25:$B$27,data!F118))*H118</f>
        <v>3061352</v>
      </c>
      <c r="N118" s="10">
        <f t="shared" si="68"/>
        <v>2908284.4</v>
      </c>
      <c r="O118" s="10">
        <f t="shared" si="69"/>
        <v>336748.72000000003</v>
      </c>
      <c r="P118" s="10">
        <f t="shared" si="70"/>
        <v>639822.56799999997</v>
      </c>
      <c r="Q118" s="10">
        <f t="shared" si="71"/>
        <v>2142946.4</v>
      </c>
      <c r="R118" s="10">
        <f t="shared" si="72"/>
        <v>2035799.0799999998</v>
      </c>
      <c r="S118" s="10">
        <f t="shared" si="73"/>
        <v>0</v>
      </c>
      <c r="T118" s="10">
        <f t="shared" si="103"/>
        <v>0</v>
      </c>
      <c r="U118" s="10">
        <f t="shared" si="103"/>
        <v>0</v>
      </c>
      <c r="V118" s="10">
        <f t="shared" si="103"/>
        <v>0</v>
      </c>
      <c r="W118" s="10">
        <f t="shared" si="103"/>
        <v>0</v>
      </c>
      <c r="X118" s="10">
        <f t="shared" si="103"/>
        <v>0</v>
      </c>
      <c r="Y118" s="10">
        <f t="shared" si="103"/>
        <v>0</v>
      </c>
      <c r="Z118" s="10">
        <f t="shared" si="103"/>
        <v>2801346.7616438358</v>
      </c>
      <c r="AA118" s="10"/>
      <c r="AB118" s="10"/>
      <c r="AC118">
        <f t="shared" ref="AC118:AR133" si="105">IF(($E118-AC$4)&gt;365,0,($E118-AC$4))</f>
        <v>0</v>
      </c>
      <c r="AD118">
        <f t="shared" si="105"/>
        <v>0</v>
      </c>
      <c r="AE118">
        <f t="shared" si="105"/>
        <v>0</v>
      </c>
      <c r="AF118">
        <f t="shared" si="105"/>
        <v>0</v>
      </c>
      <c r="AG118">
        <f t="shared" si="105"/>
        <v>0</v>
      </c>
      <c r="AH118">
        <f t="shared" si="105"/>
        <v>0</v>
      </c>
      <c r="AI118">
        <f t="shared" si="105"/>
        <v>0</v>
      </c>
      <c r="AJ118">
        <f t="shared" si="105"/>
        <v>0</v>
      </c>
      <c r="AK118">
        <f t="shared" si="105"/>
        <v>0</v>
      </c>
      <c r="AL118">
        <f t="shared" si="105"/>
        <v>0</v>
      </c>
      <c r="AM118">
        <f t="shared" si="105"/>
        <v>0</v>
      </c>
      <c r="AN118">
        <f t="shared" si="105"/>
        <v>0</v>
      </c>
      <c r="AO118">
        <f t="shared" si="105"/>
        <v>0</v>
      </c>
      <c r="AP118">
        <f t="shared" si="105"/>
        <v>0</v>
      </c>
      <c r="AQ118">
        <f t="shared" si="105"/>
        <v>0</v>
      </c>
      <c r="AR118">
        <f t="shared" si="105"/>
        <v>0</v>
      </c>
      <c r="AS118">
        <f t="shared" si="104"/>
        <v>0</v>
      </c>
      <c r="AT118">
        <f t="shared" si="104"/>
        <v>0</v>
      </c>
      <c r="AU118">
        <f t="shared" si="104"/>
        <v>0</v>
      </c>
      <c r="AV118">
        <f t="shared" si="104"/>
        <v>0</v>
      </c>
      <c r="AW118">
        <f t="shared" si="104"/>
        <v>365</v>
      </c>
      <c r="AX118">
        <f t="shared" si="104"/>
        <v>334</v>
      </c>
      <c r="AY118">
        <f t="shared" si="94"/>
        <v>0</v>
      </c>
      <c r="AZ118">
        <f t="shared" si="95"/>
        <v>0</v>
      </c>
      <c r="BA118">
        <f t="shared" si="96"/>
        <v>0</v>
      </c>
      <c r="BB118">
        <f t="shared" si="97"/>
        <v>0</v>
      </c>
      <c r="BC118">
        <f t="shared" si="98"/>
        <v>0</v>
      </c>
      <c r="BD118">
        <f t="shared" si="99"/>
        <v>0</v>
      </c>
      <c r="BE118">
        <f t="shared" si="100"/>
        <v>0</v>
      </c>
      <c r="BF118">
        <f t="shared" si="101"/>
        <v>0</v>
      </c>
      <c r="BG118">
        <f t="shared" si="75"/>
        <v>0</v>
      </c>
      <c r="BH118">
        <f t="shared" si="76"/>
        <v>0</v>
      </c>
      <c r="BI118">
        <f t="shared" si="77"/>
        <v>0</v>
      </c>
      <c r="BJ118">
        <f t="shared" si="78"/>
        <v>0</v>
      </c>
      <c r="BK118">
        <f t="shared" si="79"/>
        <v>0</v>
      </c>
      <c r="BL118">
        <f t="shared" si="80"/>
        <v>0</v>
      </c>
      <c r="BM118">
        <f t="shared" si="81"/>
        <v>0</v>
      </c>
      <c r="BN118">
        <f t="shared" si="82"/>
        <v>0</v>
      </c>
      <c r="BO118">
        <f t="shared" si="83"/>
        <v>0</v>
      </c>
      <c r="BP118">
        <f t="shared" si="84"/>
        <v>0</v>
      </c>
      <c r="BQ118">
        <f t="shared" si="85"/>
        <v>0</v>
      </c>
      <c r="BR118">
        <f t="shared" si="86"/>
        <v>0</v>
      </c>
      <c r="BS118">
        <f t="shared" si="87"/>
        <v>365</v>
      </c>
      <c r="BT118">
        <f t="shared" si="88"/>
        <v>334</v>
      </c>
    </row>
    <row r="119" spans="1:72" ht="12.95" customHeight="1" x14ac:dyDescent="0.2">
      <c r="A119">
        <f t="shared" si="92"/>
        <v>2026</v>
      </c>
      <c r="B119">
        <f t="shared" si="65"/>
        <v>1</v>
      </c>
      <c r="C119">
        <f t="shared" si="66"/>
        <v>1</v>
      </c>
      <c r="D119" s="11">
        <f>prod!A116</f>
        <v>46023</v>
      </c>
      <c r="E119" s="11">
        <f t="shared" si="67"/>
        <v>46387</v>
      </c>
      <c r="F119" s="10" t="str">
        <f>prod!B116</f>
        <v>משאיות רכוש</v>
      </c>
      <c r="G119" s="10" t="str">
        <f>prod!C116</f>
        <v xml:space="preserve">קסקו נגררים </v>
      </c>
      <c r="H119" s="10">
        <f>prod!D116</f>
        <v>84000</v>
      </c>
      <c r="I119" s="10">
        <f>SUMIFS(info!C:C,info!$A:$A,data!$A119,info!$B:$B,data!$G119)</f>
        <v>0.11</v>
      </c>
      <c r="J119" s="10">
        <f>SUMIFS(info!D:D,info!$A:$A,data!$A119,info!$B:$B,data!$G119)</f>
        <v>0.95</v>
      </c>
      <c r="K119" s="10">
        <f>SUMIFS(info!E:E,info!$A:$A,data!$A119,info!$B:$B,data!$G119)</f>
        <v>0.22</v>
      </c>
      <c r="L119" s="10">
        <f>SUMIFS(info!F:F,info!$A:$A,data!$A119,info!$B:$B,data!$G119)</f>
        <v>0.7</v>
      </c>
      <c r="M119" s="10">
        <f>IF(SUMIFS(info!$C$25:$C$27,info!$A$25:$A$27,data!A119,info!$B$25:$B$27,data!F119)&lt;=0,1,SUMIFS(info!$C$25:$C$27,info!$A$25:$A$27,data!A119,info!$B$25:$B$27,data!F119))*H119</f>
        <v>84000</v>
      </c>
      <c r="N119" s="10">
        <f t="shared" si="68"/>
        <v>79800</v>
      </c>
      <c r="O119" s="10">
        <f t="shared" si="69"/>
        <v>9240</v>
      </c>
      <c r="P119" s="10">
        <f t="shared" si="70"/>
        <v>17556</v>
      </c>
      <c r="Q119" s="10">
        <f t="shared" si="71"/>
        <v>58799.999999999993</v>
      </c>
      <c r="R119" s="10">
        <f t="shared" si="72"/>
        <v>55859.999999999993</v>
      </c>
      <c r="S119" s="10">
        <f t="shared" si="73"/>
        <v>0</v>
      </c>
      <c r="T119" s="10">
        <f t="shared" si="103"/>
        <v>0</v>
      </c>
      <c r="U119" s="10">
        <f t="shared" si="103"/>
        <v>0</v>
      </c>
      <c r="V119" s="10">
        <f t="shared" si="103"/>
        <v>0</v>
      </c>
      <c r="W119" s="10">
        <f t="shared" si="103"/>
        <v>63287.67123287671</v>
      </c>
      <c r="X119" s="10">
        <f t="shared" si="103"/>
        <v>42345.205479452052</v>
      </c>
      <c r="Y119" s="10">
        <f t="shared" si="103"/>
        <v>21172.602739726026</v>
      </c>
      <c r="Z119" s="10">
        <f t="shared" si="103"/>
        <v>0</v>
      </c>
      <c r="AA119" s="10"/>
      <c r="AB119" s="10"/>
      <c r="AC119">
        <f t="shared" si="105"/>
        <v>0</v>
      </c>
      <c r="AD119">
        <f t="shared" si="105"/>
        <v>0</v>
      </c>
      <c r="AE119">
        <f t="shared" si="105"/>
        <v>0</v>
      </c>
      <c r="AF119">
        <f t="shared" si="105"/>
        <v>0</v>
      </c>
      <c r="AG119">
        <f t="shared" si="105"/>
        <v>0</v>
      </c>
      <c r="AH119">
        <f t="shared" si="105"/>
        <v>0</v>
      </c>
      <c r="AI119">
        <f t="shared" si="105"/>
        <v>0</v>
      </c>
      <c r="AJ119">
        <f t="shared" si="105"/>
        <v>0</v>
      </c>
      <c r="AK119">
        <f t="shared" si="105"/>
        <v>0</v>
      </c>
      <c r="AL119">
        <f t="shared" si="105"/>
        <v>365</v>
      </c>
      <c r="AM119">
        <f t="shared" si="105"/>
        <v>334</v>
      </c>
      <c r="AN119">
        <f t="shared" si="105"/>
        <v>306</v>
      </c>
      <c r="AO119">
        <f t="shared" si="105"/>
        <v>275</v>
      </c>
      <c r="AP119">
        <f t="shared" si="105"/>
        <v>245</v>
      </c>
      <c r="AQ119">
        <f t="shared" si="105"/>
        <v>214</v>
      </c>
      <c r="AR119">
        <f t="shared" si="105"/>
        <v>184</v>
      </c>
      <c r="AS119">
        <f t="shared" si="104"/>
        <v>153</v>
      </c>
      <c r="AT119">
        <f t="shared" si="104"/>
        <v>122</v>
      </c>
      <c r="AU119">
        <f t="shared" si="104"/>
        <v>92</v>
      </c>
      <c r="AV119">
        <f t="shared" si="104"/>
        <v>61</v>
      </c>
      <c r="AW119">
        <f t="shared" si="104"/>
        <v>31</v>
      </c>
      <c r="AX119">
        <f t="shared" si="104"/>
        <v>0</v>
      </c>
      <c r="AY119">
        <f t="shared" si="94"/>
        <v>0</v>
      </c>
      <c r="AZ119">
        <f t="shared" si="95"/>
        <v>0</v>
      </c>
      <c r="BA119">
        <f t="shared" si="96"/>
        <v>0</v>
      </c>
      <c r="BB119">
        <f t="shared" si="97"/>
        <v>0</v>
      </c>
      <c r="BC119">
        <f t="shared" si="98"/>
        <v>0</v>
      </c>
      <c r="BD119">
        <f t="shared" si="99"/>
        <v>0</v>
      </c>
      <c r="BE119">
        <f t="shared" si="100"/>
        <v>0</v>
      </c>
      <c r="BF119">
        <f t="shared" si="101"/>
        <v>0</v>
      </c>
      <c r="BG119">
        <f t="shared" si="75"/>
        <v>0</v>
      </c>
      <c r="BH119">
        <f t="shared" si="76"/>
        <v>365</v>
      </c>
      <c r="BI119">
        <f t="shared" si="77"/>
        <v>334</v>
      </c>
      <c r="BJ119">
        <f t="shared" si="78"/>
        <v>306</v>
      </c>
      <c r="BK119">
        <f t="shared" si="79"/>
        <v>275</v>
      </c>
      <c r="BL119">
        <f t="shared" si="80"/>
        <v>245</v>
      </c>
      <c r="BM119">
        <f t="shared" si="81"/>
        <v>214</v>
      </c>
      <c r="BN119">
        <f t="shared" si="82"/>
        <v>184</v>
      </c>
      <c r="BO119">
        <f t="shared" si="83"/>
        <v>153</v>
      </c>
      <c r="BP119">
        <f t="shared" si="84"/>
        <v>122</v>
      </c>
      <c r="BQ119">
        <f t="shared" si="85"/>
        <v>92</v>
      </c>
      <c r="BR119">
        <f t="shared" si="86"/>
        <v>61</v>
      </c>
      <c r="BS119">
        <f t="shared" si="87"/>
        <v>31</v>
      </c>
      <c r="BT119">
        <f t="shared" si="88"/>
        <v>0</v>
      </c>
    </row>
    <row r="120" spans="1:72" ht="12.95" customHeight="1" x14ac:dyDescent="0.2">
      <c r="A120">
        <f t="shared" si="92"/>
        <v>2026</v>
      </c>
      <c r="B120">
        <f t="shared" si="65"/>
        <v>2</v>
      </c>
      <c r="C120">
        <f t="shared" si="66"/>
        <v>1</v>
      </c>
      <c r="D120" s="11">
        <f>prod!A117</f>
        <v>46054</v>
      </c>
      <c r="E120" s="11">
        <f t="shared" si="67"/>
        <v>46418</v>
      </c>
      <c r="F120" s="10" t="str">
        <f>prod!B117</f>
        <v>משאיות רכוש</v>
      </c>
      <c r="G120" s="10" t="str">
        <f>prod!C117</f>
        <v xml:space="preserve">קסקו נגררים </v>
      </c>
      <c r="H120" s="10">
        <f>prod!D117</f>
        <v>30545</v>
      </c>
      <c r="I120" s="10">
        <f>SUMIFS(info!C:C,info!$A:$A,data!$A120,info!$B:$B,data!$G120)</f>
        <v>0.11</v>
      </c>
      <c r="J120" s="10">
        <f>SUMIFS(info!D:D,info!$A:$A,data!$A120,info!$B:$B,data!$G120)</f>
        <v>0.95</v>
      </c>
      <c r="K120" s="10">
        <f>SUMIFS(info!E:E,info!$A:$A,data!$A120,info!$B:$B,data!$G120)</f>
        <v>0.22</v>
      </c>
      <c r="L120" s="10">
        <f>SUMIFS(info!F:F,info!$A:$A,data!$A120,info!$B:$B,data!$G120)</f>
        <v>0.7</v>
      </c>
      <c r="M120" s="10">
        <f>IF(SUMIFS(info!$C$25:$C$27,info!$A$25:$A$27,data!A120,info!$B$25:$B$27,data!F120)&lt;=0,1,SUMIFS(info!$C$25:$C$27,info!$A$25:$A$27,data!A120,info!$B$25:$B$27,data!F120))*H120</f>
        <v>30545</v>
      </c>
      <c r="N120" s="10">
        <f t="shared" si="68"/>
        <v>29017.75</v>
      </c>
      <c r="O120" s="10">
        <f t="shared" si="69"/>
        <v>3359.95</v>
      </c>
      <c r="P120" s="10">
        <f t="shared" si="70"/>
        <v>6383.9049999999997</v>
      </c>
      <c r="Q120" s="10">
        <f t="shared" si="71"/>
        <v>21381.5</v>
      </c>
      <c r="R120" s="10">
        <f t="shared" si="72"/>
        <v>20312.424999999999</v>
      </c>
      <c r="S120" s="10">
        <f t="shared" si="73"/>
        <v>0</v>
      </c>
      <c r="T120" s="10">
        <f t="shared" si="103"/>
        <v>0</v>
      </c>
      <c r="U120" s="10">
        <f t="shared" si="103"/>
        <v>0</v>
      </c>
      <c r="V120" s="10">
        <f t="shared" si="103"/>
        <v>0</v>
      </c>
      <c r="W120" s="10">
        <f t="shared" si="103"/>
        <v>25607.589041095889</v>
      </c>
      <c r="X120" s="10">
        <f t="shared" si="103"/>
        <v>17992.260273972603</v>
      </c>
      <c r="Y120" s="10">
        <f t="shared" si="103"/>
        <v>10293.246575342466</v>
      </c>
      <c r="Z120" s="10">
        <f t="shared" si="103"/>
        <v>2594.2328767123286</v>
      </c>
      <c r="AA120" s="10"/>
      <c r="AB120" s="10"/>
      <c r="AC120">
        <f t="shared" si="105"/>
        <v>0</v>
      </c>
      <c r="AD120">
        <f t="shared" si="105"/>
        <v>0</v>
      </c>
      <c r="AE120">
        <f t="shared" si="105"/>
        <v>0</v>
      </c>
      <c r="AF120">
        <f t="shared" si="105"/>
        <v>0</v>
      </c>
      <c r="AG120">
        <f t="shared" si="105"/>
        <v>0</v>
      </c>
      <c r="AH120">
        <f t="shared" si="105"/>
        <v>0</v>
      </c>
      <c r="AI120">
        <f t="shared" si="105"/>
        <v>0</v>
      </c>
      <c r="AJ120">
        <f t="shared" si="105"/>
        <v>0</v>
      </c>
      <c r="AK120">
        <f t="shared" si="105"/>
        <v>0</v>
      </c>
      <c r="AL120">
        <f t="shared" si="105"/>
        <v>0</v>
      </c>
      <c r="AM120">
        <f t="shared" si="105"/>
        <v>365</v>
      </c>
      <c r="AN120">
        <f t="shared" si="105"/>
        <v>337</v>
      </c>
      <c r="AO120">
        <f t="shared" si="105"/>
        <v>306</v>
      </c>
      <c r="AP120">
        <f t="shared" si="105"/>
        <v>276</v>
      </c>
      <c r="AQ120">
        <f t="shared" si="105"/>
        <v>245</v>
      </c>
      <c r="AR120">
        <f t="shared" si="105"/>
        <v>215</v>
      </c>
      <c r="AS120">
        <f t="shared" si="104"/>
        <v>184</v>
      </c>
      <c r="AT120">
        <f t="shared" si="104"/>
        <v>153</v>
      </c>
      <c r="AU120">
        <f t="shared" si="104"/>
        <v>123</v>
      </c>
      <c r="AV120">
        <f t="shared" si="104"/>
        <v>92</v>
      </c>
      <c r="AW120">
        <f t="shared" si="104"/>
        <v>62</v>
      </c>
      <c r="AX120">
        <f t="shared" si="104"/>
        <v>31</v>
      </c>
      <c r="AY120">
        <f t="shared" si="94"/>
        <v>0</v>
      </c>
      <c r="AZ120">
        <f t="shared" si="95"/>
        <v>0</v>
      </c>
      <c r="BA120">
        <f t="shared" si="96"/>
        <v>0</v>
      </c>
      <c r="BB120">
        <f t="shared" si="97"/>
        <v>0</v>
      </c>
      <c r="BC120">
        <f t="shared" si="98"/>
        <v>0</v>
      </c>
      <c r="BD120">
        <f t="shared" si="99"/>
        <v>0</v>
      </c>
      <c r="BE120">
        <f t="shared" si="100"/>
        <v>0</v>
      </c>
      <c r="BF120">
        <f t="shared" si="101"/>
        <v>0</v>
      </c>
      <c r="BG120">
        <f t="shared" si="75"/>
        <v>0</v>
      </c>
      <c r="BH120">
        <f t="shared" si="76"/>
        <v>0</v>
      </c>
      <c r="BI120">
        <f t="shared" si="77"/>
        <v>365</v>
      </c>
      <c r="BJ120">
        <f t="shared" si="78"/>
        <v>337</v>
      </c>
      <c r="BK120">
        <f t="shared" si="79"/>
        <v>306</v>
      </c>
      <c r="BL120">
        <f t="shared" si="80"/>
        <v>276</v>
      </c>
      <c r="BM120">
        <f t="shared" si="81"/>
        <v>245</v>
      </c>
      <c r="BN120">
        <f t="shared" si="82"/>
        <v>215</v>
      </c>
      <c r="BO120">
        <f t="shared" si="83"/>
        <v>184</v>
      </c>
      <c r="BP120">
        <f t="shared" si="84"/>
        <v>153</v>
      </c>
      <c r="BQ120">
        <f t="shared" si="85"/>
        <v>123</v>
      </c>
      <c r="BR120">
        <f t="shared" si="86"/>
        <v>92</v>
      </c>
      <c r="BS120">
        <f t="shared" si="87"/>
        <v>62</v>
      </c>
      <c r="BT120">
        <f t="shared" si="88"/>
        <v>31</v>
      </c>
    </row>
    <row r="121" spans="1:72" ht="12.95" customHeight="1" x14ac:dyDescent="0.2">
      <c r="A121">
        <f t="shared" si="92"/>
        <v>2026</v>
      </c>
      <c r="B121">
        <f t="shared" si="65"/>
        <v>3</v>
      </c>
      <c r="C121">
        <f t="shared" si="66"/>
        <v>1</v>
      </c>
      <c r="D121" s="11">
        <f>prod!A118</f>
        <v>46082</v>
      </c>
      <c r="E121" s="11">
        <f t="shared" si="67"/>
        <v>46446</v>
      </c>
      <c r="F121" s="10" t="str">
        <f>prod!B118</f>
        <v>משאיות רכוש</v>
      </c>
      <c r="G121" s="10" t="str">
        <f>prod!C118</f>
        <v xml:space="preserve">קסקו נגררים </v>
      </c>
      <c r="H121" s="10">
        <f>prod!D118</f>
        <v>30545</v>
      </c>
      <c r="I121" s="10">
        <f>SUMIFS(info!C:C,info!$A:$A,data!$A121,info!$B:$B,data!$G121)</f>
        <v>0.11</v>
      </c>
      <c r="J121" s="10">
        <f>SUMIFS(info!D:D,info!$A:$A,data!$A121,info!$B:$B,data!$G121)</f>
        <v>0.95</v>
      </c>
      <c r="K121" s="10">
        <f>SUMIFS(info!E:E,info!$A:$A,data!$A121,info!$B:$B,data!$G121)</f>
        <v>0.22</v>
      </c>
      <c r="L121" s="10">
        <f>SUMIFS(info!F:F,info!$A:$A,data!$A121,info!$B:$B,data!$G121)</f>
        <v>0.7</v>
      </c>
      <c r="M121" s="10">
        <f>IF(SUMIFS(info!$C$25:$C$27,info!$A$25:$A$27,data!A121,info!$B$25:$B$27,data!F121)&lt;=0,1,SUMIFS(info!$C$25:$C$27,info!$A$25:$A$27,data!A121,info!$B$25:$B$27,data!F121))*H121</f>
        <v>30545</v>
      </c>
      <c r="N121" s="10">
        <f t="shared" si="68"/>
        <v>29017.75</v>
      </c>
      <c r="O121" s="10">
        <f t="shared" si="69"/>
        <v>3359.95</v>
      </c>
      <c r="P121" s="10">
        <f t="shared" si="70"/>
        <v>6383.9049999999997</v>
      </c>
      <c r="Q121" s="10">
        <f t="shared" si="71"/>
        <v>21381.5</v>
      </c>
      <c r="R121" s="10">
        <f t="shared" si="72"/>
        <v>20312.424999999999</v>
      </c>
      <c r="S121" s="10">
        <f t="shared" si="73"/>
        <v>0</v>
      </c>
      <c r="T121" s="10">
        <f t="shared" si="103"/>
        <v>0</v>
      </c>
      <c r="U121" s="10">
        <f t="shared" si="103"/>
        <v>0</v>
      </c>
      <c r="V121" s="10">
        <f t="shared" si="103"/>
        <v>0</v>
      </c>
      <c r="W121" s="10">
        <f t="shared" si="103"/>
        <v>27950.767123287671</v>
      </c>
      <c r="X121" s="10">
        <f t="shared" si="103"/>
        <v>20335.438356164384</v>
      </c>
      <c r="Y121" s="10">
        <f t="shared" si="103"/>
        <v>12636.424657534246</v>
      </c>
      <c r="Z121" s="10">
        <f t="shared" si="103"/>
        <v>4937.41095890411</v>
      </c>
      <c r="AA121" s="10"/>
      <c r="AB121" s="10"/>
      <c r="AC121">
        <f t="shared" si="105"/>
        <v>0</v>
      </c>
      <c r="AD121">
        <f t="shared" si="105"/>
        <v>0</v>
      </c>
      <c r="AE121">
        <f t="shared" si="105"/>
        <v>0</v>
      </c>
      <c r="AF121">
        <f t="shared" si="105"/>
        <v>0</v>
      </c>
      <c r="AG121">
        <f t="shared" si="105"/>
        <v>0</v>
      </c>
      <c r="AH121">
        <f t="shared" si="105"/>
        <v>0</v>
      </c>
      <c r="AI121">
        <f t="shared" si="105"/>
        <v>0</v>
      </c>
      <c r="AJ121">
        <f t="shared" si="105"/>
        <v>0</v>
      </c>
      <c r="AK121">
        <f t="shared" si="105"/>
        <v>0</v>
      </c>
      <c r="AL121">
        <f t="shared" si="105"/>
        <v>0</v>
      </c>
      <c r="AM121">
        <f t="shared" si="105"/>
        <v>0</v>
      </c>
      <c r="AN121">
        <f t="shared" si="105"/>
        <v>365</v>
      </c>
      <c r="AO121">
        <f t="shared" si="105"/>
        <v>334</v>
      </c>
      <c r="AP121">
        <f t="shared" si="105"/>
        <v>304</v>
      </c>
      <c r="AQ121">
        <f t="shared" si="105"/>
        <v>273</v>
      </c>
      <c r="AR121">
        <f t="shared" si="105"/>
        <v>243</v>
      </c>
      <c r="AS121">
        <f t="shared" si="104"/>
        <v>212</v>
      </c>
      <c r="AT121">
        <f t="shared" si="104"/>
        <v>181</v>
      </c>
      <c r="AU121">
        <f t="shared" si="104"/>
        <v>151</v>
      </c>
      <c r="AV121">
        <f t="shared" si="104"/>
        <v>120</v>
      </c>
      <c r="AW121">
        <f t="shared" si="104"/>
        <v>90</v>
      </c>
      <c r="AX121">
        <f t="shared" si="104"/>
        <v>59</v>
      </c>
      <c r="AY121">
        <f t="shared" si="94"/>
        <v>0</v>
      </c>
      <c r="AZ121">
        <f t="shared" si="95"/>
        <v>0</v>
      </c>
      <c r="BA121">
        <f t="shared" si="96"/>
        <v>0</v>
      </c>
      <c r="BB121">
        <f t="shared" si="97"/>
        <v>0</v>
      </c>
      <c r="BC121">
        <f t="shared" si="98"/>
        <v>0</v>
      </c>
      <c r="BD121">
        <f t="shared" si="99"/>
        <v>0</v>
      </c>
      <c r="BE121">
        <f t="shared" si="100"/>
        <v>0</v>
      </c>
      <c r="BF121">
        <f t="shared" si="101"/>
        <v>0</v>
      </c>
      <c r="BG121">
        <f t="shared" si="75"/>
        <v>0</v>
      </c>
      <c r="BH121">
        <f t="shared" si="76"/>
        <v>0</v>
      </c>
      <c r="BI121">
        <f t="shared" si="77"/>
        <v>0</v>
      </c>
      <c r="BJ121">
        <f t="shared" si="78"/>
        <v>365</v>
      </c>
      <c r="BK121">
        <f t="shared" si="79"/>
        <v>334</v>
      </c>
      <c r="BL121">
        <f t="shared" si="80"/>
        <v>304</v>
      </c>
      <c r="BM121">
        <f t="shared" si="81"/>
        <v>273</v>
      </c>
      <c r="BN121">
        <f t="shared" si="82"/>
        <v>243</v>
      </c>
      <c r="BO121">
        <f t="shared" si="83"/>
        <v>212</v>
      </c>
      <c r="BP121">
        <f t="shared" si="84"/>
        <v>181</v>
      </c>
      <c r="BQ121">
        <f t="shared" si="85"/>
        <v>151</v>
      </c>
      <c r="BR121">
        <f t="shared" si="86"/>
        <v>120</v>
      </c>
      <c r="BS121">
        <f t="shared" si="87"/>
        <v>90</v>
      </c>
      <c r="BT121">
        <f t="shared" si="88"/>
        <v>59</v>
      </c>
    </row>
    <row r="122" spans="1:72" ht="12.95" customHeight="1" x14ac:dyDescent="0.2">
      <c r="A122">
        <f t="shared" si="92"/>
        <v>2026</v>
      </c>
      <c r="B122">
        <f t="shared" si="65"/>
        <v>4</v>
      </c>
      <c r="C122">
        <f t="shared" si="66"/>
        <v>2</v>
      </c>
      <c r="D122" s="11">
        <f>prod!A119</f>
        <v>46113</v>
      </c>
      <c r="E122" s="11">
        <f t="shared" si="67"/>
        <v>46477</v>
      </c>
      <c r="F122" s="10" t="str">
        <f>prod!B119</f>
        <v>משאיות רכוש</v>
      </c>
      <c r="G122" s="10" t="str">
        <f>prod!C119</f>
        <v xml:space="preserve">קסקו נגררים </v>
      </c>
      <c r="H122" s="10">
        <f>prod!D119</f>
        <v>30545</v>
      </c>
      <c r="I122" s="10">
        <f>SUMIFS(info!C:C,info!$A:$A,data!$A122,info!$B:$B,data!$G122)</f>
        <v>0.11</v>
      </c>
      <c r="J122" s="10">
        <f>SUMIFS(info!D:D,info!$A:$A,data!$A122,info!$B:$B,data!$G122)</f>
        <v>0.95</v>
      </c>
      <c r="K122" s="10">
        <f>SUMIFS(info!E:E,info!$A:$A,data!$A122,info!$B:$B,data!$G122)</f>
        <v>0.22</v>
      </c>
      <c r="L122" s="10">
        <f>SUMIFS(info!F:F,info!$A:$A,data!$A122,info!$B:$B,data!$G122)</f>
        <v>0.7</v>
      </c>
      <c r="M122" s="10">
        <f>IF(SUMIFS(info!$C$25:$C$27,info!$A$25:$A$27,data!A122,info!$B$25:$B$27,data!F122)&lt;=0,1,SUMIFS(info!$C$25:$C$27,info!$A$25:$A$27,data!A122,info!$B$25:$B$27,data!F122))*H122</f>
        <v>30545</v>
      </c>
      <c r="N122" s="10">
        <f t="shared" si="68"/>
        <v>29017.75</v>
      </c>
      <c r="O122" s="10">
        <f t="shared" si="69"/>
        <v>3359.95</v>
      </c>
      <c r="P122" s="10">
        <f t="shared" si="70"/>
        <v>6383.9049999999997</v>
      </c>
      <c r="Q122" s="10">
        <f t="shared" si="71"/>
        <v>21381.5</v>
      </c>
      <c r="R122" s="10">
        <f t="shared" si="72"/>
        <v>20312.424999999999</v>
      </c>
      <c r="S122" s="10">
        <f t="shared" si="73"/>
        <v>0</v>
      </c>
      <c r="T122" s="10">
        <f t="shared" si="103"/>
        <v>0</v>
      </c>
      <c r="U122" s="10">
        <f t="shared" si="103"/>
        <v>0</v>
      </c>
      <c r="V122" s="10">
        <f t="shared" si="103"/>
        <v>0</v>
      </c>
      <c r="W122" s="10">
        <f t="shared" si="103"/>
        <v>0</v>
      </c>
      <c r="X122" s="10">
        <f t="shared" si="103"/>
        <v>22929.671232876713</v>
      </c>
      <c r="Y122" s="10">
        <f t="shared" si="103"/>
        <v>15230.657534246575</v>
      </c>
      <c r="Z122" s="10">
        <f t="shared" si="103"/>
        <v>7531.6438356164381</v>
      </c>
      <c r="AA122" s="10"/>
      <c r="AB122" s="10"/>
      <c r="AC122">
        <f t="shared" si="105"/>
        <v>0</v>
      </c>
      <c r="AD122">
        <f t="shared" si="105"/>
        <v>0</v>
      </c>
      <c r="AE122">
        <f t="shared" si="105"/>
        <v>0</v>
      </c>
      <c r="AF122">
        <f t="shared" si="105"/>
        <v>0</v>
      </c>
      <c r="AG122">
        <f t="shared" si="105"/>
        <v>0</v>
      </c>
      <c r="AH122">
        <f t="shared" si="105"/>
        <v>0</v>
      </c>
      <c r="AI122">
        <f t="shared" si="105"/>
        <v>0</v>
      </c>
      <c r="AJ122">
        <f t="shared" si="105"/>
        <v>0</v>
      </c>
      <c r="AK122">
        <f t="shared" si="105"/>
        <v>0</v>
      </c>
      <c r="AL122">
        <f t="shared" si="105"/>
        <v>0</v>
      </c>
      <c r="AM122">
        <f t="shared" si="105"/>
        <v>0</v>
      </c>
      <c r="AN122">
        <f t="shared" si="105"/>
        <v>0</v>
      </c>
      <c r="AO122">
        <f t="shared" si="105"/>
        <v>365</v>
      </c>
      <c r="AP122">
        <f t="shared" si="105"/>
        <v>335</v>
      </c>
      <c r="AQ122">
        <f t="shared" si="105"/>
        <v>304</v>
      </c>
      <c r="AR122">
        <f t="shared" si="105"/>
        <v>274</v>
      </c>
      <c r="AS122">
        <f t="shared" si="104"/>
        <v>243</v>
      </c>
      <c r="AT122">
        <f t="shared" si="104"/>
        <v>212</v>
      </c>
      <c r="AU122">
        <f t="shared" si="104"/>
        <v>182</v>
      </c>
      <c r="AV122">
        <f t="shared" si="104"/>
        <v>151</v>
      </c>
      <c r="AW122">
        <f t="shared" si="104"/>
        <v>121</v>
      </c>
      <c r="AX122">
        <f t="shared" si="104"/>
        <v>90</v>
      </c>
      <c r="AY122">
        <f t="shared" si="94"/>
        <v>0</v>
      </c>
      <c r="AZ122">
        <f t="shared" si="95"/>
        <v>0</v>
      </c>
      <c r="BA122">
        <f t="shared" si="96"/>
        <v>0</v>
      </c>
      <c r="BB122">
        <f t="shared" si="97"/>
        <v>0</v>
      </c>
      <c r="BC122">
        <f t="shared" si="98"/>
        <v>0</v>
      </c>
      <c r="BD122">
        <f t="shared" si="99"/>
        <v>0</v>
      </c>
      <c r="BE122">
        <f t="shared" si="100"/>
        <v>0</v>
      </c>
      <c r="BF122">
        <f t="shared" si="101"/>
        <v>0</v>
      </c>
      <c r="BG122">
        <f t="shared" si="75"/>
        <v>0</v>
      </c>
      <c r="BH122">
        <f t="shared" si="76"/>
        <v>0</v>
      </c>
      <c r="BI122">
        <f t="shared" si="77"/>
        <v>0</v>
      </c>
      <c r="BJ122">
        <f t="shared" si="78"/>
        <v>0</v>
      </c>
      <c r="BK122">
        <f t="shared" si="79"/>
        <v>365</v>
      </c>
      <c r="BL122">
        <f t="shared" si="80"/>
        <v>335</v>
      </c>
      <c r="BM122">
        <f t="shared" si="81"/>
        <v>304</v>
      </c>
      <c r="BN122">
        <f t="shared" si="82"/>
        <v>274</v>
      </c>
      <c r="BO122">
        <f t="shared" si="83"/>
        <v>243</v>
      </c>
      <c r="BP122">
        <f t="shared" si="84"/>
        <v>212</v>
      </c>
      <c r="BQ122">
        <f t="shared" si="85"/>
        <v>182</v>
      </c>
      <c r="BR122">
        <f t="shared" si="86"/>
        <v>151</v>
      </c>
      <c r="BS122">
        <f t="shared" si="87"/>
        <v>121</v>
      </c>
      <c r="BT122">
        <f t="shared" si="88"/>
        <v>90</v>
      </c>
    </row>
    <row r="123" spans="1:72" ht="12.95" customHeight="1" x14ac:dyDescent="0.2">
      <c r="A123">
        <f t="shared" si="92"/>
        <v>2026</v>
      </c>
      <c r="B123">
        <f t="shared" si="65"/>
        <v>5</v>
      </c>
      <c r="C123">
        <f t="shared" si="66"/>
        <v>2</v>
      </c>
      <c r="D123" s="11">
        <f>prod!A120</f>
        <v>46143</v>
      </c>
      <c r="E123" s="11">
        <f t="shared" si="67"/>
        <v>46507</v>
      </c>
      <c r="F123" s="10" t="str">
        <f>prod!B120</f>
        <v>משאיות רכוש</v>
      </c>
      <c r="G123" s="10" t="str">
        <f>prod!C120</f>
        <v xml:space="preserve">קסקו נגררים </v>
      </c>
      <c r="H123" s="10">
        <f>prod!D120</f>
        <v>30545</v>
      </c>
      <c r="I123" s="10">
        <f>SUMIFS(info!C:C,info!$A:$A,data!$A123,info!$B:$B,data!$G123)</f>
        <v>0.11</v>
      </c>
      <c r="J123" s="10">
        <f>SUMIFS(info!D:D,info!$A:$A,data!$A123,info!$B:$B,data!$G123)</f>
        <v>0.95</v>
      </c>
      <c r="K123" s="10">
        <f>SUMIFS(info!E:E,info!$A:$A,data!$A123,info!$B:$B,data!$G123)</f>
        <v>0.22</v>
      </c>
      <c r="L123" s="10">
        <f>SUMIFS(info!F:F,info!$A:$A,data!$A123,info!$B:$B,data!$G123)</f>
        <v>0.7</v>
      </c>
      <c r="M123" s="10">
        <f>IF(SUMIFS(info!$C$25:$C$27,info!$A$25:$A$27,data!A123,info!$B$25:$B$27,data!F123)&lt;=0,1,SUMIFS(info!$C$25:$C$27,info!$A$25:$A$27,data!A123,info!$B$25:$B$27,data!F123))*H123</f>
        <v>30545</v>
      </c>
      <c r="N123" s="10">
        <f t="shared" si="68"/>
        <v>29017.75</v>
      </c>
      <c r="O123" s="10">
        <f t="shared" si="69"/>
        <v>3359.95</v>
      </c>
      <c r="P123" s="10">
        <f t="shared" si="70"/>
        <v>6383.9049999999997</v>
      </c>
      <c r="Q123" s="10">
        <f t="shared" si="71"/>
        <v>21381.5</v>
      </c>
      <c r="R123" s="10">
        <f t="shared" si="72"/>
        <v>20312.424999999999</v>
      </c>
      <c r="S123" s="10">
        <f t="shared" si="73"/>
        <v>0</v>
      </c>
      <c r="T123" s="10">
        <f t="shared" si="103"/>
        <v>0</v>
      </c>
      <c r="U123" s="10">
        <f t="shared" si="103"/>
        <v>0</v>
      </c>
      <c r="V123" s="10">
        <f t="shared" si="103"/>
        <v>0</v>
      </c>
      <c r="W123" s="10">
        <f t="shared" si="103"/>
        <v>0</v>
      </c>
      <c r="X123" s="10">
        <f t="shared" si="103"/>
        <v>25440.219178082192</v>
      </c>
      <c r="Y123" s="10">
        <f t="shared" si="103"/>
        <v>17741.205479452055</v>
      </c>
      <c r="Z123" s="10">
        <f t="shared" si="103"/>
        <v>10042.191780821919</v>
      </c>
      <c r="AA123" s="10"/>
      <c r="AB123" s="10"/>
      <c r="AC123">
        <f t="shared" si="105"/>
        <v>0</v>
      </c>
      <c r="AD123">
        <f t="shared" si="105"/>
        <v>0</v>
      </c>
      <c r="AE123">
        <f t="shared" si="105"/>
        <v>0</v>
      </c>
      <c r="AF123">
        <f t="shared" si="105"/>
        <v>0</v>
      </c>
      <c r="AG123">
        <f t="shared" si="105"/>
        <v>0</v>
      </c>
      <c r="AH123">
        <f t="shared" si="105"/>
        <v>0</v>
      </c>
      <c r="AI123">
        <f t="shared" si="105"/>
        <v>0</v>
      </c>
      <c r="AJ123">
        <f t="shared" si="105"/>
        <v>0</v>
      </c>
      <c r="AK123">
        <f t="shared" si="105"/>
        <v>0</v>
      </c>
      <c r="AL123">
        <f t="shared" si="105"/>
        <v>0</v>
      </c>
      <c r="AM123">
        <f t="shared" si="105"/>
        <v>0</v>
      </c>
      <c r="AN123">
        <f t="shared" si="105"/>
        <v>0</v>
      </c>
      <c r="AO123">
        <f t="shared" si="105"/>
        <v>0</v>
      </c>
      <c r="AP123">
        <f t="shared" si="105"/>
        <v>365</v>
      </c>
      <c r="AQ123">
        <f t="shared" si="105"/>
        <v>334</v>
      </c>
      <c r="AR123">
        <f t="shared" si="105"/>
        <v>304</v>
      </c>
      <c r="AS123">
        <f t="shared" si="104"/>
        <v>273</v>
      </c>
      <c r="AT123">
        <f t="shared" si="104"/>
        <v>242</v>
      </c>
      <c r="AU123">
        <f t="shared" si="104"/>
        <v>212</v>
      </c>
      <c r="AV123">
        <f t="shared" si="104"/>
        <v>181</v>
      </c>
      <c r="AW123">
        <f t="shared" si="104"/>
        <v>151</v>
      </c>
      <c r="AX123">
        <f t="shared" si="104"/>
        <v>120</v>
      </c>
      <c r="AY123">
        <f t="shared" si="94"/>
        <v>0</v>
      </c>
      <c r="AZ123">
        <f t="shared" si="95"/>
        <v>0</v>
      </c>
      <c r="BA123">
        <f t="shared" si="96"/>
        <v>0</v>
      </c>
      <c r="BB123">
        <f t="shared" si="97"/>
        <v>0</v>
      </c>
      <c r="BC123">
        <f t="shared" si="98"/>
        <v>0</v>
      </c>
      <c r="BD123">
        <f t="shared" si="99"/>
        <v>0</v>
      </c>
      <c r="BE123">
        <f t="shared" si="100"/>
        <v>0</v>
      </c>
      <c r="BF123">
        <f t="shared" si="101"/>
        <v>0</v>
      </c>
      <c r="BG123">
        <f t="shared" si="75"/>
        <v>0</v>
      </c>
      <c r="BH123">
        <f t="shared" si="76"/>
        <v>0</v>
      </c>
      <c r="BI123">
        <f t="shared" si="77"/>
        <v>0</v>
      </c>
      <c r="BJ123">
        <f t="shared" si="78"/>
        <v>0</v>
      </c>
      <c r="BK123">
        <f t="shared" si="79"/>
        <v>0</v>
      </c>
      <c r="BL123">
        <f t="shared" si="80"/>
        <v>365</v>
      </c>
      <c r="BM123">
        <f t="shared" si="81"/>
        <v>334</v>
      </c>
      <c r="BN123">
        <f t="shared" si="82"/>
        <v>304</v>
      </c>
      <c r="BO123">
        <f t="shared" si="83"/>
        <v>273</v>
      </c>
      <c r="BP123">
        <f t="shared" si="84"/>
        <v>242</v>
      </c>
      <c r="BQ123">
        <f t="shared" si="85"/>
        <v>212</v>
      </c>
      <c r="BR123">
        <f t="shared" si="86"/>
        <v>181</v>
      </c>
      <c r="BS123">
        <f t="shared" si="87"/>
        <v>151</v>
      </c>
      <c r="BT123">
        <f t="shared" si="88"/>
        <v>120</v>
      </c>
    </row>
    <row r="124" spans="1:72" ht="12.95" customHeight="1" x14ac:dyDescent="0.2">
      <c r="A124">
        <f t="shared" si="92"/>
        <v>2026</v>
      </c>
      <c r="B124">
        <f t="shared" si="65"/>
        <v>6</v>
      </c>
      <c r="C124">
        <f t="shared" si="66"/>
        <v>2</v>
      </c>
      <c r="D124" s="11">
        <f>prod!A121</f>
        <v>46174</v>
      </c>
      <c r="E124" s="11">
        <f t="shared" si="67"/>
        <v>46538</v>
      </c>
      <c r="F124" s="10" t="str">
        <f>prod!B121</f>
        <v>משאיות רכוש</v>
      </c>
      <c r="G124" s="10" t="str">
        <f>prod!C121</f>
        <v xml:space="preserve">קסקו נגררים </v>
      </c>
      <c r="H124" s="10">
        <f>prod!D121</f>
        <v>30545</v>
      </c>
      <c r="I124" s="10">
        <f>SUMIFS(info!C:C,info!$A:$A,data!$A124,info!$B:$B,data!$G124)</f>
        <v>0.11</v>
      </c>
      <c r="J124" s="10">
        <f>SUMIFS(info!D:D,info!$A:$A,data!$A124,info!$B:$B,data!$G124)</f>
        <v>0.95</v>
      </c>
      <c r="K124" s="10">
        <f>SUMIFS(info!E:E,info!$A:$A,data!$A124,info!$B:$B,data!$G124)</f>
        <v>0.22</v>
      </c>
      <c r="L124" s="10">
        <f>SUMIFS(info!F:F,info!$A:$A,data!$A124,info!$B:$B,data!$G124)</f>
        <v>0.7</v>
      </c>
      <c r="M124" s="10">
        <f>IF(SUMIFS(info!$C$25:$C$27,info!$A$25:$A$27,data!A124,info!$B$25:$B$27,data!F124)&lt;=0,1,SUMIFS(info!$C$25:$C$27,info!$A$25:$A$27,data!A124,info!$B$25:$B$27,data!F124))*H124</f>
        <v>30545</v>
      </c>
      <c r="N124" s="10">
        <f t="shared" si="68"/>
        <v>29017.75</v>
      </c>
      <c r="O124" s="10">
        <f t="shared" si="69"/>
        <v>3359.95</v>
      </c>
      <c r="P124" s="10">
        <f t="shared" si="70"/>
        <v>6383.9049999999997</v>
      </c>
      <c r="Q124" s="10">
        <f t="shared" si="71"/>
        <v>21381.5</v>
      </c>
      <c r="R124" s="10">
        <f t="shared" si="72"/>
        <v>20312.424999999999</v>
      </c>
      <c r="S124" s="10">
        <f t="shared" si="73"/>
        <v>0</v>
      </c>
      <c r="T124" s="10">
        <f t="shared" si="103"/>
        <v>0</v>
      </c>
      <c r="U124" s="10">
        <f t="shared" si="103"/>
        <v>0</v>
      </c>
      <c r="V124" s="10">
        <f t="shared" si="103"/>
        <v>0</v>
      </c>
      <c r="W124" s="10">
        <f t="shared" si="103"/>
        <v>0</v>
      </c>
      <c r="X124" s="10">
        <f t="shared" si="103"/>
        <v>28034.452054794521</v>
      </c>
      <c r="Y124" s="10">
        <f t="shared" si="103"/>
        <v>20335.438356164384</v>
      </c>
      <c r="Z124" s="10">
        <f t="shared" si="103"/>
        <v>12636.424657534246</v>
      </c>
      <c r="AA124" s="10"/>
      <c r="AB124" s="10"/>
      <c r="AC124">
        <f t="shared" si="105"/>
        <v>0</v>
      </c>
      <c r="AD124">
        <f t="shared" si="105"/>
        <v>0</v>
      </c>
      <c r="AE124">
        <f t="shared" si="105"/>
        <v>0</v>
      </c>
      <c r="AF124">
        <f t="shared" si="105"/>
        <v>0</v>
      </c>
      <c r="AG124">
        <f t="shared" si="105"/>
        <v>0</v>
      </c>
      <c r="AH124">
        <f t="shared" si="105"/>
        <v>0</v>
      </c>
      <c r="AI124">
        <f t="shared" si="105"/>
        <v>0</v>
      </c>
      <c r="AJ124">
        <f t="shared" si="105"/>
        <v>0</v>
      </c>
      <c r="AK124">
        <f t="shared" si="105"/>
        <v>0</v>
      </c>
      <c r="AL124">
        <f t="shared" si="105"/>
        <v>0</v>
      </c>
      <c r="AM124">
        <f t="shared" si="105"/>
        <v>0</v>
      </c>
      <c r="AN124">
        <f t="shared" si="105"/>
        <v>0</v>
      </c>
      <c r="AO124">
        <f t="shared" si="105"/>
        <v>0</v>
      </c>
      <c r="AP124">
        <f t="shared" si="105"/>
        <v>0</v>
      </c>
      <c r="AQ124">
        <f t="shared" si="105"/>
        <v>365</v>
      </c>
      <c r="AR124">
        <f t="shared" si="105"/>
        <v>335</v>
      </c>
      <c r="AS124">
        <f t="shared" si="104"/>
        <v>304</v>
      </c>
      <c r="AT124">
        <f t="shared" si="104"/>
        <v>273</v>
      </c>
      <c r="AU124">
        <f t="shared" si="104"/>
        <v>243</v>
      </c>
      <c r="AV124">
        <f t="shared" si="104"/>
        <v>212</v>
      </c>
      <c r="AW124">
        <f t="shared" si="104"/>
        <v>182</v>
      </c>
      <c r="AX124">
        <f t="shared" si="104"/>
        <v>151</v>
      </c>
      <c r="AY124">
        <f t="shared" si="94"/>
        <v>0</v>
      </c>
      <c r="AZ124">
        <f t="shared" si="95"/>
        <v>0</v>
      </c>
      <c r="BA124">
        <f t="shared" si="96"/>
        <v>0</v>
      </c>
      <c r="BB124">
        <f t="shared" si="97"/>
        <v>0</v>
      </c>
      <c r="BC124">
        <f t="shared" si="98"/>
        <v>0</v>
      </c>
      <c r="BD124">
        <f t="shared" si="99"/>
        <v>0</v>
      </c>
      <c r="BE124">
        <f t="shared" si="100"/>
        <v>0</v>
      </c>
      <c r="BF124">
        <f t="shared" si="101"/>
        <v>0</v>
      </c>
      <c r="BG124">
        <f t="shared" si="75"/>
        <v>0</v>
      </c>
      <c r="BH124">
        <f t="shared" si="76"/>
        <v>0</v>
      </c>
      <c r="BI124">
        <f t="shared" si="77"/>
        <v>0</v>
      </c>
      <c r="BJ124">
        <f t="shared" si="78"/>
        <v>0</v>
      </c>
      <c r="BK124">
        <f t="shared" si="79"/>
        <v>0</v>
      </c>
      <c r="BL124">
        <f t="shared" si="80"/>
        <v>0</v>
      </c>
      <c r="BM124">
        <f t="shared" si="81"/>
        <v>365</v>
      </c>
      <c r="BN124">
        <f t="shared" si="82"/>
        <v>335</v>
      </c>
      <c r="BO124">
        <f t="shared" si="83"/>
        <v>304</v>
      </c>
      <c r="BP124">
        <f t="shared" si="84"/>
        <v>273</v>
      </c>
      <c r="BQ124">
        <f t="shared" si="85"/>
        <v>243</v>
      </c>
      <c r="BR124">
        <f t="shared" si="86"/>
        <v>212</v>
      </c>
      <c r="BS124">
        <f t="shared" si="87"/>
        <v>182</v>
      </c>
      <c r="BT124">
        <f t="shared" si="88"/>
        <v>151</v>
      </c>
    </row>
    <row r="125" spans="1:72" ht="12.95" customHeight="1" x14ac:dyDescent="0.2">
      <c r="A125">
        <f t="shared" si="92"/>
        <v>2026</v>
      </c>
      <c r="B125">
        <f t="shared" si="65"/>
        <v>7</v>
      </c>
      <c r="C125">
        <f t="shared" si="66"/>
        <v>3</v>
      </c>
      <c r="D125" s="11">
        <f>prod!A122</f>
        <v>46204</v>
      </c>
      <c r="E125" s="11">
        <f t="shared" si="67"/>
        <v>46568</v>
      </c>
      <c r="F125" s="10" t="str">
        <f>prod!B122</f>
        <v>משאיות רכוש</v>
      </c>
      <c r="G125" s="10" t="str">
        <f>prod!C122</f>
        <v xml:space="preserve">קסקו נגררים </v>
      </c>
      <c r="H125" s="10">
        <f>prod!D122</f>
        <v>30545</v>
      </c>
      <c r="I125" s="10">
        <f>SUMIFS(info!C:C,info!$A:$A,data!$A125,info!$B:$B,data!$G125)</f>
        <v>0.11</v>
      </c>
      <c r="J125" s="10">
        <f>SUMIFS(info!D:D,info!$A:$A,data!$A125,info!$B:$B,data!$G125)</f>
        <v>0.95</v>
      </c>
      <c r="K125" s="10">
        <f>SUMIFS(info!E:E,info!$A:$A,data!$A125,info!$B:$B,data!$G125)</f>
        <v>0.22</v>
      </c>
      <c r="L125" s="10">
        <f>SUMIFS(info!F:F,info!$A:$A,data!$A125,info!$B:$B,data!$G125)</f>
        <v>0.7</v>
      </c>
      <c r="M125" s="10">
        <f>IF(SUMIFS(info!$C$25:$C$27,info!$A$25:$A$27,data!A125,info!$B$25:$B$27,data!F125)&lt;=0,1,SUMIFS(info!$C$25:$C$27,info!$A$25:$A$27,data!A125,info!$B$25:$B$27,data!F125))*H125</f>
        <v>30545</v>
      </c>
      <c r="N125" s="10">
        <f t="shared" si="68"/>
        <v>29017.75</v>
      </c>
      <c r="O125" s="10">
        <f t="shared" si="69"/>
        <v>3359.95</v>
      </c>
      <c r="P125" s="10">
        <f t="shared" si="70"/>
        <v>6383.9049999999997</v>
      </c>
      <c r="Q125" s="10">
        <f t="shared" si="71"/>
        <v>21381.5</v>
      </c>
      <c r="R125" s="10">
        <f t="shared" si="72"/>
        <v>20312.424999999999</v>
      </c>
      <c r="S125" s="10">
        <f t="shared" si="73"/>
        <v>0</v>
      </c>
      <c r="T125" s="10">
        <f t="shared" si="103"/>
        <v>0</v>
      </c>
      <c r="U125" s="10">
        <f t="shared" si="103"/>
        <v>0</v>
      </c>
      <c r="V125" s="10">
        <f t="shared" si="103"/>
        <v>0</v>
      </c>
      <c r="W125" s="10">
        <f t="shared" si="103"/>
        <v>0</v>
      </c>
      <c r="X125" s="10">
        <f t="shared" si="103"/>
        <v>0</v>
      </c>
      <c r="Y125" s="10">
        <f t="shared" si="103"/>
        <v>22845.986301369863</v>
      </c>
      <c r="Z125" s="10">
        <f t="shared" si="103"/>
        <v>15146.972602739726</v>
      </c>
      <c r="AA125" s="10"/>
      <c r="AB125" s="10"/>
      <c r="AC125">
        <f t="shared" si="105"/>
        <v>0</v>
      </c>
      <c r="AD125">
        <f t="shared" si="105"/>
        <v>0</v>
      </c>
      <c r="AE125">
        <f t="shared" si="105"/>
        <v>0</v>
      </c>
      <c r="AF125">
        <f t="shared" si="105"/>
        <v>0</v>
      </c>
      <c r="AG125">
        <f t="shared" si="105"/>
        <v>0</v>
      </c>
      <c r="AH125">
        <f t="shared" si="105"/>
        <v>0</v>
      </c>
      <c r="AI125">
        <f t="shared" si="105"/>
        <v>0</v>
      </c>
      <c r="AJ125">
        <f t="shared" si="105"/>
        <v>0</v>
      </c>
      <c r="AK125">
        <f t="shared" si="105"/>
        <v>0</v>
      </c>
      <c r="AL125">
        <f t="shared" si="105"/>
        <v>0</v>
      </c>
      <c r="AM125">
        <f t="shared" si="105"/>
        <v>0</v>
      </c>
      <c r="AN125">
        <f t="shared" si="105"/>
        <v>0</v>
      </c>
      <c r="AO125">
        <f t="shared" si="105"/>
        <v>0</v>
      </c>
      <c r="AP125">
        <f t="shared" si="105"/>
        <v>0</v>
      </c>
      <c r="AQ125">
        <f t="shared" si="105"/>
        <v>0</v>
      </c>
      <c r="AR125">
        <f t="shared" si="105"/>
        <v>365</v>
      </c>
      <c r="AS125">
        <f t="shared" si="104"/>
        <v>334</v>
      </c>
      <c r="AT125">
        <f t="shared" si="104"/>
        <v>303</v>
      </c>
      <c r="AU125">
        <f t="shared" si="104"/>
        <v>273</v>
      </c>
      <c r="AV125">
        <f t="shared" si="104"/>
        <v>242</v>
      </c>
      <c r="AW125">
        <f t="shared" si="104"/>
        <v>212</v>
      </c>
      <c r="AX125">
        <f t="shared" si="104"/>
        <v>181</v>
      </c>
      <c r="AY125">
        <f t="shared" si="94"/>
        <v>0</v>
      </c>
      <c r="AZ125">
        <f t="shared" si="95"/>
        <v>0</v>
      </c>
      <c r="BA125">
        <f t="shared" si="96"/>
        <v>0</v>
      </c>
      <c r="BB125">
        <f t="shared" si="97"/>
        <v>0</v>
      </c>
      <c r="BC125">
        <f t="shared" si="98"/>
        <v>0</v>
      </c>
      <c r="BD125">
        <f t="shared" si="99"/>
        <v>0</v>
      </c>
      <c r="BE125">
        <f t="shared" si="100"/>
        <v>0</v>
      </c>
      <c r="BF125">
        <f t="shared" si="101"/>
        <v>0</v>
      </c>
      <c r="BG125">
        <f t="shared" si="75"/>
        <v>0</v>
      </c>
      <c r="BH125">
        <f t="shared" si="76"/>
        <v>0</v>
      </c>
      <c r="BI125">
        <f t="shared" si="77"/>
        <v>0</v>
      </c>
      <c r="BJ125">
        <f t="shared" si="78"/>
        <v>0</v>
      </c>
      <c r="BK125">
        <f t="shared" si="79"/>
        <v>0</v>
      </c>
      <c r="BL125">
        <f t="shared" si="80"/>
        <v>0</v>
      </c>
      <c r="BM125">
        <f t="shared" si="81"/>
        <v>0</v>
      </c>
      <c r="BN125">
        <f t="shared" si="82"/>
        <v>365</v>
      </c>
      <c r="BO125">
        <f t="shared" si="83"/>
        <v>334</v>
      </c>
      <c r="BP125">
        <f t="shared" si="84"/>
        <v>303</v>
      </c>
      <c r="BQ125">
        <f t="shared" si="85"/>
        <v>273</v>
      </c>
      <c r="BR125">
        <f t="shared" si="86"/>
        <v>242</v>
      </c>
      <c r="BS125">
        <f t="shared" si="87"/>
        <v>212</v>
      </c>
      <c r="BT125">
        <f t="shared" si="88"/>
        <v>181</v>
      </c>
    </row>
    <row r="126" spans="1:72" ht="12.95" customHeight="1" x14ac:dyDescent="0.2">
      <c r="A126">
        <f t="shared" si="92"/>
        <v>2026</v>
      </c>
      <c r="B126">
        <f t="shared" si="65"/>
        <v>8</v>
      </c>
      <c r="C126">
        <f t="shared" si="66"/>
        <v>3</v>
      </c>
      <c r="D126" s="11">
        <f>prod!A123</f>
        <v>46235</v>
      </c>
      <c r="E126" s="11">
        <f t="shared" si="67"/>
        <v>46599</v>
      </c>
      <c r="F126" s="10" t="str">
        <f>prod!B123</f>
        <v>משאיות רכוש</v>
      </c>
      <c r="G126" s="10" t="str">
        <f>prod!C123</f>
        <v xml:space="preserve">קסקו נגררים </v>
      </c>
      <c r="H126" s="10">
        <f>prod!D123</f>
        <v>33695</v>
      </c>
      <c r="I126" s="10">
        <f>SUMIFS(info!C:C,info!$A:$A,data!$A126,info!$B:$B,data!$G126)</f>
        <v>0.11</v>
      </c>
      <c r="J126" s="10">
        <f>SUMIFS(info!D:D,info!$A:$A,data!$A126,info!$B:$B,data!$G126)</f>
        <v>0.95</v>
      </c>
      <c r="K126" s="10">
        <f>SUMIFS(info!E:E,info!$A:$A,data!$A126,info!$B:$B,data!$G126)</f>
        <v>0.22</v>
      </c>
      <c r="L126" s="10">
        <f>SUMIFS(info!F:F,info!$A:$A,data!$A126,info!$B:$B,data!$G126)</f>
        <v>0.7</v>
      </c>
      <c r="M126" s="10">
        <f>IF(SUMIFS(info!$C$25:$C$27,info!$A$25:$A$27,data!A126,info!$B$25:$B$27,data!F126)&lt;=0,1,SUMIFS(info!$C$25:$C$27,info!$A$25:$A$27,data!A126,info!$B$25:$B$27,data!F126))*H126</f>
        <v>33695</v>
      </c>
      <c r="N126" s="10">
        <f t="shared" si="68"/>
        <v>32010.25</v>
      </c>
      <c r="O126" s="10">
        <f t="shared" si="69"/>
        <v>3706.45</v>
      </c>
      <c r="P126" s="10">
        <f t="shared" si="70"/>
        <v>7042.2550000000001</v>
      </c>
      <c r="Q126" s="10">
        <f t="shared" si="71"/>
        <v>23586.5</v>
      </c>
      <c r="R126" s="10">
        <f t="shared" si="72"/>
        <v>22407.174999999999</v>
      </c>
      <c r="S126" s="10">
        <f t="shared" si="73"/>
        <v>0</v>
      </c>
      <c r="T126" s="10">
        <f t="shared" si="103"/>
        <v>0</v>
      </c>
      <c r="U126" s="10">
        <f t="shared" si="103"/>
        <v>0</v>
      </c>
      <c r="V126" s="10">
        <f t="shared" si="103"/>
        <v>0</v>
      </c>
      <c r="W126" s="10">
        <f t="shared" si="103"/>
        <v>0</v>
      </c>
      <c r="X126" s="10">
        <f t="shared" si="103"/>
        <v>0</v>
      </c>
      <c r="Y126" s="10">
        <f t="shared" si="103"/>
        <v>28063.780821917808</v>
      </c>
      <c r="Z126" s="10">
        <f t="shared" si="103"/>
        <v>19570.794520547945</v>
      </c>
      <c r="AA126" s="10"/>
      <c r="AB126" s="10"/>
      <c r="AC126">
        <f t="shared" si="105"/>
        <v>0</v>
      </c>
      <c r="AD126">
        <f t="shared" si="105"/>
        <v>0</v>
      </c>
      <c r="AE126">
        <f t="shared" si="105"/>
        <v>0</v>
      </c>
      <c r="AF126">
        <f t="shared" si="105"/>
        <v>0</v>
      </c>
      <c r="AG126">
        <f t="shared" si="105"/>
        <v>0</v>
      </c>
      <c r="AH126">
        <f t="shared" si="105"/>
        <v>0</v>
      </c>
      <c r="AI126">
        <f t="shared" si="105"/>
        <v>0</v>
      </c>
      <c r="AJ126">
        <f t="shared" si="105"/>
        <v>0</v>
      </c>
      <c r="AK126">
        <f t="shared" si="105"/>
        <v>0</v>
      </c>
      <c r="AL126">
        <f t="shared" si="105"/>
        <v>0</v>
      </c>
      <c r="AM126">
        <f t="shared" si="105"/>
        <v>0</v>
      </c>
      <c r="AN126">
        <f t="shared" si="105"/>
        <v>0</v>
      </c>
      <c r="AO126">
        <f t="shared" si="105"/>
        <v>0</v>
      </c>
      <c r="AP126">
        <f t="shared" si="105"/>
        <v>0</v>
      </c>
      <c r="AQ126">
        <f t="shared" si="105"/>
        <v>0</v>
      </c>
      <c r="AR126">
        <f t="shared" si="105"/>
        <v>0</v>
      </c>
      <c r="AS126">
        <f t="shared" si="104"/>
        <v>365</v>
      </c>
      <c r="AT126">
        <f t="shared" si="104"/>
        <v>334</v>
      </c>
      <c r="AU126">
        <f t="shared" si="104"/>
        <v>304</v>
      </c>
      <c r="AV126">
        <f t="shared" si="104"/>
        <v>273</v>
      </c>
      <c r="AW126">
        <f t="shared" si="104"/>
        <v>243</v>
      </c>
      <c r="AX126">
        <f t="shared" si="104"/>
        <v>212</v>
      </c>
      <c r="AY126">
        <f t="shared" si="94"/>
        <v>0</v>
      </c>
      <c r="AZ126">
        <f t="shared" si="95"/>
        <v>0</v>
      </c>
      <c r="BA126">
        <f t="shared" si="96"/>
        <v>0</v>
      </c>
      <c r="BB126">
        <f t="shared" si="97"/>
        <v>0</v>
      </c>
      <c r="BC126">
        <f t="shared" si="98"/>
        <v>0</v>
      </c>
      <c r="BD126">
        <f t="shared" si="99"/>
        <v>0</v>
      </c>
      <c r="BE126">
        <f t="shared" si="100"/>
        <v>0</v>
      </c>
      <c r="BF126">
        <f t="shared" si="101"/>
        <v>0</v>
      </c>
      <c r="BG126">
        <f t="shared" si="75"/>
        <v>0</v>
      </c>
      <c r="BH126">
        <f t="shared" si="76"/>
        <v>0</v>
      </c>
      <c r="BI126">
        <f t="shared" si="77"/>
        <v>0</v>
      </c>
      <c r="BJ126">
        <f t="shared" si="78"/>
        <v>0</v>
      </c>
      <c r="BK126">
        <f t="shared" si="79"/>
        <v>0</v>
      </c>
      <c r="BL126">
        <f t="shared" si="80"/>
        <v>0</v>
      </c>
      <c r="BM126">
        <f t="shared" si="81"/>
        <v>0</v>
      </c>
      <c r="BN126">
        <f t="shared" si="82"/>
        <v>0</v>
      </c>
      <c r="BO126">
        <f t="shared" si="83"/>
        <v>365</v>
      </c>
      <c r="BP126">
        <f t="shared" si="84"/>
        <v>334</v>
      </c>
      <c r="BQ126">
        <f t="shared" si="85"/>
        <v>304</v>
      </c>
      <c r="BR126">
        <f t="shared" si="86"/>
        <v>273</v>
      </c>
      <c r="BS126">
        <f t="shared" si="87"/>
        <v>243</v>
      </c>
      <c r="BT126">
        <f t="shared" si="88"/>
        <v>212</v>
      </c>
    </row>
    <row r="127" spans="1:72" ht="12.95" customHeight="1" x14ac:dyDescent="0.2">
      <c r="A127">
        <f t="shared" si="92"/>
        <v>2026</v>
      </c>
      <c r="B127">
        <f t="shared" si="65"/>
        <v>9</v>
      </c>
      <c r="C127">
        <f t="shared" si="66"/>
        <v>3</v>
      </c>
      <c r="D127" s="11">
        <f>prod!A124</f>
        <v>46266</v>
      </c>
      <c r="E127" s="11">
        <f t="shared" si="67"/>
        <v>46630</v>
      </c>
      <c r="F127" s="10" t="str">
        <f>prod!B124</f>
        <v>משאיות רכוש</v>
      </c>
      <c r="G127" s="10" t="str">
        <f>prod!C124</f>
        <v xml:space="preserve">קסקו נגררים </v>
      </c>
      <c r="H127" s="10">
        <f>prod!D124</f>
        <v>66770</v>
      </c>
      <c r="I127" s="10">
        <f>SUMIFS(info!C:C,info!$A:$A,data!$A127,info!$B:$B,data!$G127)</f>
        <v>0.11</v>
      </c>
      <c r="J127" s="10">
        <f>SUMIFS(info!D:D,info!$A:$A,data!$A127,info!$B:$B,data!$G127)</f>
        <v>0.95</v>
      </c>
      <c r="K127" s="10">
        <f>SUMIFS(info!E:E,info!$A:$A,data!$A127,info!$B:$B,data!$G127)</f>
        <v>0.22</v>
      </c>
      <c r="L127" s="10">
        <f>SUMIFS(info!F:F,info!$A:$A,data!$A127,info!$B:$B,data!$G127)</f>
        <v>0.7</v>
      </c>
      <c r="M127" s="10">
        <f>IF(SUMIFS(info!$C$25:$C$27,info!$A$25:$A$27,data!A127,info!$B$25:$B$27,data!F127)&lt;=0,1,SUMIFS(info!$C$25:$C$27,info!$A$25:$A$27,data!A127,info!$B$25:$B$27,data!F127))*H127</f>
        <v>66770</v>
      </c>
      <c r="N127" s="10">
        <f t="shared" si="68"/>
        <v>63431.5</v>
      </c>
      <c r="O127" s="10">
        <f t="shared" si="69"/>
        <v>7344.7</v>
      </c>
      <c r="P127" s="10">
        <f t="shared" si="70"/>
        <v>13954.93</v>
      </c>
      <c r="Q127" s="10">
        <f t="shared" si="71"/>
        <v>46739</v>
      </c>
      <c r="R127" s="10">
        <f t="shared" si="72"/>
        <v>44402.049999999996</v>
      </c>
      <c r="S127" s="10">
        <f t="shared" si="73"/>
        <v>0</v>
      </c>
      <c r="T127" s="10">
        <f t="shared" si="103"/>
        <v>0</v>
      </c>
      <c r="U127" s="10">
        <f t="shared" si="103"/>
        <v>0</v>
      </c>
      <c r="V127" s="10">
        <f t="shared" si="103"/>
        <v>0</v>
      </c>
      <c r="W127" s="10">
        <f t="shared" si="103"/>
        <v>0</v>
      </c>
      <c r="X127" s="10">
        <f t="shared" si="103"/>
        <v>0</v>
      </c>
      <c r="Y127" s="10">
        <f t="shared" si="103"/>
        <v>61282.054794520547</v>
      </c>
      <c r="Z127" s="10">
        <f t="shared" si="103"/>
        <v>44452.356164383564</v>
      </c>
      <c r="AA127" s="10"/>
      <c r="AB127" s="10"/>
      <c r="AC127">
        <f t="shared" si="105"/>
        <v>0</v>
      </c>
      <c r="AD127">
        <f t="shared" si="105"/>
        <v>0</v>
      </c>
      <c r="AE127">
        <f t="shared" si="105"/>
        <v>0</v>
      </c>
      <c r="AF127">
        <f t="shared" si="105"/>
        <v>0</v>
      </c>
      <c r="AG127">
        <f t="shared" si="105"/>
        <v>0</v>
      </c>
      <c r="AH127">
        <f t="shared" si="105"/>
        <v>0</v>
      </c>
      <c r="AI127">
        <f t="shared" si="105"/>
        <v>0</v>
      </c>
      <c r="AJ127">
        <f t="shared" si="105"/>
        <v>0</v>
      </c>
      <c r="AK127">
        <f t="shared" si="105"/>
        <v>0</v>
      </c>
      <c r="AL127">
        <f t="shared" si="105"/>
        <v>0</v>
      </c>
      <c r="AM127">
        <f t="shared" si="105"/>
        <v>0</v>
      </c>
      <c r="AN127">
        <f t="shared" si="105"/>
        <v>0</v>
      </c>
      <c r="AO127">
        <f t="shared" si="105"/>
        <v>0</v>
      </c>
      <c r="AP127">
        <f t="shared" si="105"/>
        <v>0</v>
      </c>
      <c r="AQ127">
        <f t="shared" si="105"/>
        <v>0</v>
      </c>
      <c r="AR127">
        <f t="shared" si="105"/>
        <v>0</v>
      </c>
      <c r="AS127">
        <f t="shared" si="104"/>
        <v>0</v>
      </c>
      <c r="AT127">
        <f t="shared" si="104"/>
        <v>365</v>
      </c>
      <c r="AU127">
        <f t="shared" si="104"/>
        <v>335</v>
      </c>
      <c r="AV127">
        <f t="shared" si="104"/>
        <v>304</v>
      </c>
      <c r="AW127">
        <f t="shared" si="104"/>
        <v>274</v>
      </c>
      <c r="AX127">
        <f t="shared" si="104"/>
        <v>243</v>
      </c>
      <c r="AY127">
        <f t="shared" si="94"/>
        <v>0</v>
      </c>
      <c r="AZ127">
        <f t="shared" si="95"/>
        <v>0</v>
      </c>
      <c r="BA127">
        <f t="shared" si="96"/>
        <v>0</v>
      </c>
      <c r="BB127">
        <f t="shared" si="97"/>
        <v>0</v>
      </c>
      <c r="BC127">
        <f t="shared" si="98"/>
        <v>0</v>
      </c>
      <c r="BD127">
        <f t="shared" si="99"/>
        <v>0</v>
      </c>
      <c r="BE127">
        <f t="shared" si="100"/>
        <v>0</v>
      </c>
      <c r="BF127">
        <f t="shared" si="101"/>
        <v>0</v>
      </c>
      <c r="BG127">
        <f t="shared" si="75"/>
        <v>0</v>
      </c>
      <c r="BH127">
        <f t="shared" si="76"/>
        <v>0</v>
      </c>
      <c r="BI127">
        <f t="shared" si="77"/>
        <v>0</v>
      </c>
      <c r="BJ127">
        <f t="shared" si="78"/>
        <v>0</v>
      </c>
      <c r="BK127">
        <f t="shared" si="79"/>
        <v>0</v>
      </c>
      <c r="BL127">
        <f t="shared" si="80"/>
        <v>0</v>
      </c>
      <c r="BM127">
        <f t="shared" si="81"/>
        <v>0</v>
      </c>
      <c r="BN127">
        <f t="shared" si="82"/>
        <v>0</v>
      </c>
      <c r="BO127">
        <f t="shared" si="83"/>
        <v>0</v>
      </c>
      <c r="BP127">
        <f t="shared" si="84"/>
        <v>365</v>
      </c>
      <c r="BQ127">
        <f t="shared" si="85"/>
        <v>335</v>
      </c>
      <c r="BR127">
        <f t="shared" si="86"/>
        <v>304</v>
      </c>
      <c r="BS127">
        <f t="shared" si="87"/>
        <v>274</v>
      </c>
      <c r="BT127">
        <f t="shared" si="88"/>
        <v>243</v>
      </c>
    </row>
    <row r="128" spans="1:72" ht="12.95" customHeight="1" x14ac:dyDescent="0.2">
      <c r="A128">
        <f t="shared" si="92"/>
        <v>2026</v>
      </c>
      <c r="B128">
        <f t="shared" si="65"/>
        <v>10</v>
      </c>
      <c r="C128">
        <f t="shared" si="66"/>
        <v>4</v>
      </c>
      <c r="D128" s="11">
        <f>prod!A125</f>
        <v>46296</v>
      </c>
      <c r="E128" s="11">
        <f t="shared" si="67"/>
        <v>46660</v>
      </c>
      <c r="F128" s="10" t="str">
        <f>prod!B125</f>
        <v>משאיות רכוש</v>
      </c>
      <c r="G128" s="10" t="str">
        <f>prod!C125</f>
        <v xml:space="preserve">קסקו נגררים </v>
      </c>
      <c r="H128" s="10">
        <f>prod!D125</f>
        <v>57320</v>
      </c>
      <c r="I128" s="10">
        <f>SUMIFS(info!C:C,info!$A:$A,data!$A128,info!$B:$B,data!$G128)</f>
        <v>0.11</v>
      </c>
      <c r="J128" s="10">
        <f>SUMIFS(info!D:D,info!$A:$A,data!$A128,info!$B:$B,data!$G128)</f>
        <v>0.95</v>
      </c>
      <c r="K128" s="10">
        <f>SUMIFS(info!E:E,info!$A:$A,data!$A128,info!$B:$B,data!$G128)</f>
        <v>0.22</v>
      </c>
      <c r="L128" s="10">
        <f>SUMIFS(info!F:F,info!$A:$A,data!$A128,info!$B:$B,data!$G128)</f>
        <v>0.7</v>
      </c>
      <c r="M128" s="10">
        <f>IF(SUMIFS(info!$C$25:$C$27,info!$A$25:$A$27,data!A128,info!$B$25:$B$27,data!F128)&lt;=0,1,SUMIFS(info!$C$25:$C$27,info!$A$25:$A$27,data!A128,info!$B$25:$B$27,data!F128))*H128</f>
        <v>57320</v>
      </c>
      <c r="N128" s="10">
        <f t="shared" si="68"/>
        <v>54454</v>
      </c>
      <c r="O128" s="10">
        <f t="shared" si="69"/>
        <v>6305.2</v>
      </c>
      <c r="P128" s="10">
        <f t="shared" si="70"/>
        <v>11979.88</v>
      </c>
      <c r="Q128" s="10">
        <f t="shared" si="71"/>
        <v>40124</v>
      </c>
      <c r="R128" s="10">
        <f t="shared" si="72"/>
        <v>38117.799999999996</v>
      </c>
      <c r="S128" s="10">
        <f t="shared" si="73"/>
        <v>0</v>
      </c>
      <c r="T128" s="10">
        <f t="shared" si="103"/>
        <v>0</v>
      </c>
      <c r="U128" s="10">
        <f t="shared" si="103"/>
        <v>0</v>
      </c>
      <c r="V128" s="10">
        <f t="shared" si="103"/>
        <v>0</v>
      </c>
      <c r="W128" s="10">
        <f t="shared" si="103"/>
        <v>0</v>
      </c>
      <c r="X128" s="10">
        <f t="shared" si="103"/>
        <v>0</v>
      </c>
      <c r="Y128" s="10">
        <f t="shared" si="103"/>
        <v>0</v>
      </c>
      <c r="Z128" s="10">
        <f t="shared" si="103"/>
        <v>42872.219178082189</v>
      </c>
      <c r="AA128" s="10"/>
      <c r="AB128" s="10"/>
      <c r="AC128">
        <f t="shared" si="105"/>
        <v>0</v>
      </c>
      <c r="AD128">
        <f t="shared" si="105"/>
        <v>0</v>
      </c>
      <c r="AE128">
        <f t="shared" si="105"/>
        <v>0</v>
      </c>
      <c r="AF128">
        <f t="shared" si="105"/>
        <v>0</v>
      </c>
      <c r="AG128">
        <f t="shared" si="105"/>
        <v>0</v>
      </c>
      <c r="AH128">
        <f t="shared" si="105"/>
        <v>0</v>
      </c>
      <c r="AI128">
        <f t="shared" si="105"/>
        <v>0</v>
      </c>
      <c r="AJ128">
        <f t="shared" si="105"/>
        <v>0</v>
      </c>
      <c r="AK128">
        <f t="shared" si="105"/>
        <v>0</v>
      </c>
      <c r="AL128">
        <f t="shared" si="105"/>
        <v>0</v>
      </c>
      <c r="AM128">
        <f t="shared" si="105"/>
        <v>0</v>
      </c>
      <c r="AN128">
        <f t="shared" si="105"/>
        <v>0</v>
      </c>
      <c r="AO128">
        <f t="shared" si="105"/>
        <v>0</v>
      </c>
      <c r="AP128">
        <f t="shared" si="105"/>
        <v>0</v>
      </c>
      <c r="AQ128">
        <f t="shared" si="105"/>
        <v>0</v>
      </c>
      <c r="AR128">
        <f t="shared" si="105"/>
        <v>0</v>
      </c>
      <c r="AS128">
        <f t="shared" si="104"/>
        <v>0</v>
      </c>
      <c r="AT128">
        <f t="shared" si="104"/>
        <v>0</v>
      </c>
      <c r="AU128">
        <f t="shared" si="104"/>
        <v>365</v>
      </c>
      <c r="AV128">
        <f t="shared" si="104"/>
        <v>334</v>
      </c>
      <c r="AW128">
        <f t="shared" si="104"/>
        <v>304</v>
      </c>
      <c r="AX128">
        <f t="shared" si="104"/>
        <v>273</v>
      </c>
      <c r="AY128">
        <f t="shared" si="94"/>
        <v>0</v>
      </c>
      <c r="AZ128">
        <f t="shared" si="95"/>
        <v>0</v>
      </c>
      <c r="BA128">
        <f t="shared" si="96"/>
        <v>0</v>
      </c>
      <c r="BB128">
        <f t="shared" si="97"/>
        <v>0</v>
      </c>
      <c r="BC128">
        <f t="shared" si="98"/>
        <v>0</v>
      </c>
      <c r="BD128">
        <f t="shared" si="99"/>
        <v>0</v>
      </c>
      <c r="BE128">
        <f t="shared" si="100"/>
        <v>0</v>
      </c>
      <c r="BF128">
        <f t="shared" si="101"/>
        <v>0</v>
      </c>
      <c r="BG128">
        <f t="shared" si="75"/>
        <v>0</v>
      </c>
      <c r="BH128">
        <f t="shared" si="76"/>
        <v>0</v>
      </c>
      <c r="BI128">
        <f t="shared" si="77"/>
        <v>0</v>
      </c>
      <c r="BJ128">
        <f t="shared" si="78"/>
        <v>0</v>
      </c>
      <c r="BK128">
        <f t="shared" si="79"/>
        <v>0</v>
      </c>
      <c r="BL128">
        <f t="shared" si="80"/>
        <v>0</v>
      </c>
      <c r="BM128">
        <f t="shared" si="81"/>
        <v>0</v>
      </c>
      <c r="BN128">
        <f t="shared" si="82"/>
        <v>0</v>
      </c>
      <c r="BO128">
        <f t="shared" si="83"/>
        <v>0</v>
      </c>
      <c r="BP128">
        <f t="shared" si="84"/>
        <v>0</v>
      </c>
      <c r="BQ128">
        <f t="shared" si="85"/>
        <v>365</v>
      </c>
      <c r="BR128">
        <f t="shared" si="86"/>
        <v>334</v>
      </c>
      <c r="BS128">
        <f t="shared" si="87"/>
        <v>304</v>
      </c>
      <c r="BT128">
        <f t="shared" si="88"/>
        <v>273</v>
      </c>
    </row>
    <row r="129" spans="1:72" ht="12.95" customHeight="1" x14ac:dyDescent="0.2">
      <c r="A129">
        <f t="shared" si="92"/>
        <v>2026</v>
      </c>
      <c r="B129">
        <f t="shared" si="65"/>
        <v>11</v>
      </c>
      <c r="C129">
        <f t="shared" si="66"/>
        <v>4</v>
      </c>
      <c r="D129" s="11">
        <f>prod!A126</f>
        <v>46327</v>
      </c>
      <c r="E129" s="11">
        <f t="shared" si="67"/>
        <v>46691</v>
      </c>
      <c r="F129" s="10" t="str">
        <f>prod!B126</f>
        <v>משאיות רכוש</v>
      </c>
      <c r="G129" s="10" t="str">
        <f>prod!C126</f>
        <v xml:space="preserve">קסקו נגררים </v>
      </c>
      <c r="H129" s="10">
        <f>prod!D126</f>
        <v>63620</v>
      </c>
      <c r="I129" s="10">
        <f>SUMIFS(info!C:C,info!$A:$A,data!$A129,info!$B:$B,data!$G129)</f>
        <v>0.11</v>
      </c>
      <c r="J129" s="10">
        <f>SUMIFS(info!D:D,info!$A:$A,data!$A129,info!$B:$B,data!$G129)</f>
        <v>0.95</v>
      </c>
      <c r="K129" s="10">
        <f>SUMIFS(info!E:E,info!$A:$A,data!$A129,info!$B:$B,data!$G129)</f>
        <v>0.22</v>
      </c>
      <c r="L129" s="10">
        <f>SUMIFS(info!F:F,info!$A:$A,data!$A129,info!$B:$B,data!$G129)</f>
        <v>0.7</v>
      </c>
      <c r="M129" s="10">
        <f>IF(SUMIFS(info!$C$25:$C$27,info!$A$25:$A$27,data!A129,info!$B$25:$B$27,data!F129)&lt;=0,1,SUMIFS(info!$C$25:$C$27,info!$A$25:$A$27,data!A129,info!$B$25:$B$27,data!F129))*H129</f>
        <v>63620</v>
      </c>
      <c r="N129" s="10">
        <f t="shared" si="68"/>
        <v>60439</v>
      </c>
      <c r="O129" s="10">
        <f t="shared" si="69"/>
        <v>6998.2</v>
      </c>
      <c r="P129" s="10">
        <f t="shared" si="70"/>
        <v>13296.58</v>
      </c>
      <c r="Q129" s="10">
        <f t="shared" si="71"/>
        <v>44534</v>
      </c>
      <c r="R129" s="10">
        <f t="shared" si="72"/>
        <v>42307.299999999996</v>
      </c>
      <c r="S129" s="10">
        <f t="shared" si="73"/>
        <v>0</v>
      </c>
      <c r="T129" s="10">
        <f t="shared" ref="T129:Z133" si="106">IF($D129&gt;T$4,0,$M129*MAX(0,$E129-T$4)/($E129-$D129+1))</f>
        <v>0</v>
      </c>
      <c r="U129" s="10">
        <f t="shared" si="106"/>
        <v>0</v>
      </c>
      <c r="V129" s="10">
        <f t="shared" si="106"/>
        <v>0</v>
      </c>
      <c r="W129" s="10">
        <f t="shared" si="106"/>
        <v>0</v>
      </c>
      <c r="X129" s="10">
        <f t="shared" si="106"/>
        <v>0</v>
      </c>
      <c r="Y129" s="10">
        <f t="shared" si="106"/>
        <v>0</v>
      </c>
      <c r="Z129" s="10">
        <f t="shared" si="106"/>
        <v>52987.616438356163</v>
      </c>
      <c r="AA129" s="10"/>
      <c r="AB129" s="10"/>
      <c r="AC129">
        <f t="shared" si="105"/>
        <v>0</v>
      </c>
      <c r="AD129">
        <f t="shared" si="105"/>
        <v>0</v>
      </c>
      <c r="AE129">
        <f t="shared" si="105"/>
        <v>0</v>
      </c>
      <c r="AF129">
        <f t="shared" si="105"/>
        <v>0</v>
      </c>
      <c r="AG129">
        <f t="shared" si="105"/>
        <v>0</v>
      </c>
      <c r="AH129">
        <f t="shared" si="105"/>
        <v>0</v>
      </c>
      <c r="AI129">
        <f t="shared" si="105"/>
        <v>0</v>
      </c>
      <c r="AJ129">
        <f t="shared" si="105"/>
        <v>0</v>
      </c>
      <c r="AK129">
        <f t="shared" si="105"/>
        <v>0</v>
      </c>
      <c r="AL129">
        <f t="shared" si="105"/>
        <v>0</v>
      </c>
      <c r="AM129">
        <f t="shared" si="105"/>
        <v>0</v>
      </c>
      <c r="AN129">
        <f t="shared" si="105"/>
        <v>0</v>
      </c>
      <c r="AO129">
        <f t="shared" si="105"/>
        <v>0</v>
      </c>
      <c r="AP129">
        <f t="shared" si="105"/>
        <v>0</v>
      </c>
      <c r="AQ129">
        <f t="shared" si="105"/>
        <v>0</v>
      </c>
      <c r="AR129">
        <f t="shared" si="105"/>
        <v>0</v>
      </c>
      <c r="AS129">
        <f t="shared" si="104"/>
        <v>0</v>
      </c>
      <c r="AT129">
        <f t="shared" si="104"/>
        <v>0</v>
      </c>
      <c r="AU129">
        <f t="shared" si="104"/>
        <v>0</v>
      </c>
      <c r="AV129">
        <f t="shared" si="104"/>
        <v>365</v>
      </c>
      <c r="AW129">
        <f t="shared" si="104"/>
        <v>335</v>
      </c>
      <c r="AX129">
        <f t="shared" si="104"/>
        <v>304</v>
      </c>
      <c r="AY129">
        <f t="shared" si="94"/>
        <v>0</v>
      </c>
      <c r="AZ129">
        <f t="shared" si="95"/>
        <v>0</v>
      </c>
      <c r="BA129">
        <f t="shared" si="96"/>
        <v>0</v>
      </c>
      <c r="BB129">
        <f t="shared" si="97"/>
        <v>0</v>
      </c>
      <c r="BC129">
        <f t="shared" si="98"/>
        <v>0</v>
      </c>
      <c r="BD129">
        <f t="shared" si="99"/>
        <v>0</v>
      </c>
      <c r="BE129">
        <f t="shared" si="100"/>
        <v>0</v>
      </c>
      <c r="BF129">
        <f t="shared" si="101"/>
        <v>0</v>
      </c>
      <c r="BG129">
        <f t="shared" si="75"/>
        <v>0</v>
      </c>
      <c r="BH129">
        <f t="shared" si="76"/>
        <v>0</v>
      </c>
      <c r="BI129">
        <f t="shared" si="77"/>
        <v>0</v>
      </c>
      <c r="BJ129">
        <f t="shared" si="78"/>
        <v>0</v>
      </c>
      <c r="BK129">
        <f t="shared" si="79"/>
        <v>0</v>
      </c>
      <c r="BL129">
        <f t="shared" si="80"/>
        <v>0</v>
      </c>
      <c r="BM129">
        <f t="shared" si="81"/>
        <v>0</v>
      </c>
      <c r="BN129">
        <f t="shared" si="82"/>
        <v>0</v>
      </c>
      <c r="BO129">
        <f t="shared" si="83"/>
        <v>0</v>
      </c>
      <c r="BP129">
        <f t="shared" si="84"/>
        <v>0</v>
      </c>
      <c r="BQ129">
        <f t="shared" si="85"/>
        <v>0</v>
      </c>
      <c r="BR129">
        <f t="shared" si="86"/>
        <v>365</v>
      </c>
      <c r="BS129">
        <f t="shared" si="87"/>
        <v>335</v>
      </c>
      <c r="BT129">
        <f t="shared" si="88"/>
        <v>304</v>
      </c>
    </row>
    <row r="130" spans="1:72" ht="12.95" customHeight="1" x14ac:dyDescent="0.2">
      <c r="A130">
        <f t="shared" si="92"/>
        <v>2026</v>
      </c>
      <c r="B130">
        <f t="shared" si="65"/>
        <v>12</v>
      </c>
      <c r="C130">
        <f t="shared" si="66"/>
        <v>4</v>
      </c>
      <c r="D130" s="11">
        <f>prod!A127</f>
        <v>46357</v>
      </c>
      <c r="E130" s="11">
        <f t="shared" si="67"/>
        <v>46721</v>
      </c>
      <c r="F130" s="10" t="str">
        <f>prod!B127</f>
        <v>משאיות רכוש</v>
      </c>
      <c r="G130" s="10" t="str">
        <f>prod!C127</f>
        <v xml:space="preserve">קסקו נגררים </v>
      </c>
      <c r="H130" s="10">
        <f>prod!D127</f>
        <v>347120</v>
      </c>
      <c r="I130" s="10">
        <f>SUMIFS(info!C:C,info!$A:$A,data!$A130,info!$B:$B,data!$G130)</f>
        <v>0.11</v>
      </c>
      <c r="J130" s="10">
        <f>SUMIFS(info!D:D,info!$A:$A,data!$A130,info!$B:$B,data!$G130)</f>
        <v>0.95</v>
      </c>
      <c r="K130" s="10">
        <f>SUMIFS(info!E:E,info!$A:$A,data!$A130,info!$B:$B,data!$G130)</f>
        <v>0.22</v>
      </c>
      <c r="L130" s="10">
        <f>SUMIFS(info!F:F,info!$A:$A,data!$A130,info!$B:$B,data!$G130)</f>
        <v>0.7</v>
      </c>
      <c r="M130" s="10">
        <f>IF(SUMIFS(info!$C$25:$C$27,info!$A$25:$A$27,data!A130,info!$B$25:$B$27,data!F130)&lt;=0,1,SUMIFS(info!$C$25:$C$27,info!$A$25:$A$27,data!A130,info!$B$25:$B$27,data!F130))*H130</f>
        <v>347120</v>
      </c>
      <c r="N130" s="10">
        <f t="shared" si="68"/>
        <v>329764</v>
      </c>
      <c r="O130" s="10">
        <f t="shared" si="69"/>
        <v>38183.199999999997</v>
      </c>
      <c r="P130" s="10">
        <f t="shared" si="70"/>
        <v>72548.08</v>
      </c>
      <c r="Q130" s="10">
        <f t="shared" si="71"/>
        <v>242983.99999999997</v>
      </c>
      <c r="R130" s="10">
        <f t="shared" si="72"/>
        <v>230834.79999999996</v>
      </c>
      <c r="S130" s="10">
        <f t="shared" si="73"/>
        <v>0</v>
      </c>
      <c r="T130" s="10">
        <f t="shared" si="106"/>
        <v>0</v>
      </c>
      <c r="U130" s="10">
        <f t="shared" si="106"/>
        <v>0</v>
      </c>
      <c r="V130" s="10">
        <f t="shared" si="106"/>
        <v>0</v>
      </c>
      <c r="W130" s="10">
        <f t="shared" si="106"/>
        <v>0</v>
      </c>
      <c r="X130" s="10">
        <f t="shared" si="106"/>
        <v>0</v>
      </c>
      <c r="Y130" s="10">
        <f t="shared" si="106"/>
        <v>0</v>
      </c>
      <c r="Z130" s="10">
        <f t="shared" si="106"/>
        <v>317638.57534246577</v>
      </c>
      <c r="AA130" s="10"/>
      <c r="AB130" s="10"/>
      <c r="AC130">
        <f t="shared" si="105"/>
        <v>0</v>
      </c>
      <c r="AD130">
        <f t="shared" si="105"/>
        <v>0</v>
      </c>
      <c r="AE130">
        <f t="shared" si="105"/>
        <v>0</v>
      </c>
      <c r="AF130">
        <f t="shared" si="105"/>
        <v>0</v>
      </c>
      <c r="AG130">
        <f t="shared" si="105"/>
        <v>0</v>
      </c>
      <c r="AH130">
        <f t="shared" si="105"/>
        <v>0</v>
      </c>
      <c r="AI130">
        <f t="shared" si="105"/>
        <v>0</v>
      </c>
      <c r="AJ130">
        <f t="shared" si="105"/>
        <v>0</v>
      </c>
      <c r="AK130">
        <f t="shared" si="105"/>
        <v>0</v>
      </c>
      <c r="AL130">
        <f t="shared" si="105"/>
        <v>0</v>
      </c>
      <c r="AM130">
        <f t="shared" si="105"/>
        <v>0</v>
      </c>
      <c r="AN130">
        <f t="shared" si="105"/>
        <v>0</v>
      </c>
      <c r="AO130">
        <f t="shared" si="105"/>
        <v>0</v>
      </c>
      <c r="AP130">
        <f t="shared" si="105"/>
        <v>0</v>
      </c>
      <c r="AQ130">
        <f t="shared" si="105"/>
        <v>0</v>
      </c>
      <c r="AR130">
        <f t="shared" si="105"/>
        <v>0</v>
      </c>
      <c r="AS130">
        <f t="shared" si="104"/>
        <v>0</v>
      </c>
      <c r="AT130">
        <f t="shared" si="104"/>
        <v>0</v>
      </c>
      <c r="AU130">
        <f t="shared" si="104"/>
        <v>0</v>
      </c>
      <c r="AV130">
        <f t="shared" si="104"/>
        <v>0</v>
      </c>
      <c r="AW130">
        <f t="shared" si="104"/>
        <v>365</v>
      </c>
      <c r="AX130">
        <f t="shared" si="104"/>
        <v>334</v>
      </c>
      <c r="AY130">
        <f t="shared" si="94"/>
        <v>0</v>
      </c>
      <c r="AZ130">
        <f t="shared" si="95"/>
        <v>0</v>
      </c>
      <c r="BA130">
        <f t="shared" si="96"/>
        <v>0</v>
      </c>
      <c r="BB130">
        <f t="shared" si="97"/>
        <v>0</v>
      </c>
      <c r="BC130">
        <f t="shared" si="98"/>
        <v>0</v>
      </c>
      <c r="BD130">
        <f t="shared" si="99"/>
        <v>0</v>
      </c>
      <c r="BE130">
        <f t="shared" si="100"/>
        <v>0</v>
      </c>
      <c r="BF130">
        <f t="shared" si="101"/>
        <v>0</v>
      </c>
      <c r="BG130">
        <f t="shared" si="75"/>
        <v>0</v>
      </c>
      <c r="BH130">
        <f t="shared" si="76"/>
        <v>0</v>
      </c>
      <c r="BI130">
        <f t="shared" si="77"/>
        <v>0</v>
      </c>
      <c r="BJ130">
        <f t="shared" si="78"/>
        <v>0</v>
      </c>
      <c r="BK130">
        <f t="shared" si="79"/>
        <v>0</v>
      </c>
      <c r="BL130">
        <f t="shared" si="80"/>
        <v>0</v>
      </c>
      <c r="BM130">
        <f t="shared" si="81"/>
        <v>0</v>
      </c>
      <c r="BN130">
        <f t="shared" si="82"/>
        <v>0</v>
      </c>
      <c r="BO130">
        <f t="shared" si="83"/>
        <v>0</v>
      </c>
      <c r="BP130">
        <f t="shared" si="84"/>
        <v>0</v>
      </c>
      <c r="BQ130">
        <f t="shared" si="85"/>
        <v>0</v>
      </c>
      <c r="BR130">
        <f t="shared" si="86"/>
        <v>0</v>
      </c>
      <c r="BS130">
        <f t="shared" si="87"/>
        <v>365</v>
      </c>
      <c r="BT130">
        <f t="shared" si="88"/>
        <v>334</v>
      </c>
    </row>
    <row r="131" spans="1:72" ht="12.95" customHeight="1" x14ac:dyDescent="0.2">
      <c r="A131">
        <f t="shared" si="92"/>
        <v>2026</v>
      </c>
      <c r="B131">
        <f t="shared" si="65"/>
        <v>1</v>
      </c>
      <c r="C131">
        <f t="shared" si="66"/>
        <v>1</v>
      </c>
      <c r="D131" s="11">
        <f>prod!A128</f>
        <v>46023</v>
      </c>
      <c r="E131" s="11">
        <f t="shared" si="67"/>
        <v>46387</v>
      </c>
      <c r="F131" s="10" t="str">
        <f>prod!B128</f>
        <v>משאיות רכוש</v>
      </c>
      <c r="G131" s="10" t="str">
        <f>prod!C128</f>
        <v>צמה</v>
      </c>
      <c r="H131" s="10">
        <f>prod!D128</f>
        <v>1440000</v>
      </c>
      <c r="I131" s="10">
        <f>SUMIFS(info!C:C,info!$A:$A,data!$A131,info!$B:$B,data!$G131)</f>
        <v>0.11</v>
      </c>
      <c r="J131" s="10">
        <f>SUMIFS(info!D:D,info!$A:$A,data!$A131,info!$B:$B,data!$G131)</f>
        <v>0.95</v>
      </c>
      <c r="K131" s="10">
        <f>SUMIFS(info!E:E,info!$A:$A,data!$A131,info!$B:$B,data!$G131)</f>
        <v>0.22</v>
      </c>
      <c r="L131" s="10">
        <f>SUMIFS(info!F:F,info!$A:$A,data!$A131,info!$B:$B,data!$G131)</f>
        <v>0.7</v>
      </c>
      <c r="M131" s="10">
        <f>IF(SUMIFS(info!$C$25:$C$27,info!$A$25:$A$27,data!A131,info!$B$25:$B$27,data!F131)&lt;=0,1,SUMIFS(info!$C$25:$C$27,info!$A$25:$A$27,data!A131,info!$B$25:$B$27,data!F131))*H131</f>
        <v>1440000</v>
      </c>
      <c r="N131" s="10">
        <f t="shared" si="68"/>
        <v>1368000</v>
      </c>
      <c r="O131" s="10">
        <f t="shared" si="69"/>
        <v>158400</v>
      </c>
      <c r="P131" s="10">
        <f t="shared" si="70"/>
        <v>300960</v>
      </c>
      <c r="Q131" s="10">
        <f t="shared" si="71"/>
        <v>1007999.9999999999</v>
      </c>
      <c r="R131" s="10">
        <f t="shared" si="72"/>
        <v>957599.99999999988</v>
      </c>
      <c r="S131" s="10">
        <f t="shared" si="73"/>
        <v>0</v>
      </c>
      <c r="T131" s="10">
        <f t="shared" si="106"/>
        <v>0</v>
      </c>
      <c r="U131" s="10">
        <f t="shared" si="106"/>
        <v>0</v>
      </c>
      <c r="V131" s="10">
        <f t="shared" si="106"/>
        <v>0</v>
      </c>
      <c r="W131" s="10">
        <f t="shared" si="106"/>
        <v>1084931.506849315</v>
      </c>
      <c r="X131" s="10">
        <f t="shared" si="106"/>
        <v>725917.80821917811</v>
      </c>
      <c r="Y131" s="10">
        <f t="shared" si="106"/>
        <v>362958.90410958906</v>
      </c>
      <c r="Z131" s="10">
        <f t="shared" si="106"/>
        <v>0</v>
      </c>
      <c r="AA131" s="10"/>
      <c r="AB131" s="10"/>
      <c r="AC131">
        <f t="shared" si="105"/>
        <v>0</v>
      </c>
      <c r="AD131">
        <f t="shared" si="105"/>
        <v>0</v>
      </c>
      <c r="AE131">
        <f t="shared" si="105"/>
        <v>0</v>
      </c>
      <c r="AF131">
        <f t="shared" si="105"/>
        <v>0</v>
      </c>
      <c r="AG131">
        <f t="shared" si="105"/>
        <v>0</v>
      </c>
      <c r="AH131">
        <f t="shared" si="105"/>
        <v>0</v>
      </c>
      <c r="AI131">
        <f t="shared" si="105"/>
        <v>0</v>
      </c>
      <c r="AJ131">
        <f t="shared" si="105"/>
        <v>0</v>
      </c>
      <c r="AK131">
        <f t="shared" si="105"/>
        <v>0</v>
      </c>
      <c r="AL131">
        <f t="shared" si="105"/>
        <v>365</v>
      </c>
      <c r="AM131">
        <f t="shared" si="105"/>
        <v>334</v>
      </c>
      <c r="AN131">
        <f t="shared" si="105"/>
        <v>306</v>
      </c>
      <c r="AO131">
        <f t="shared" si="105"/>
        <v>275</v>
      </c>
      <c r="AP131">
        <f t="shared" si="105"/>
        <v>245</v>
      </c>
      <c r="AQ131">
        <f t="shared" si="105"/>
        <v>214</v>
      </c>
      <c r="AR131">
        <f t="shared" si="105"/>
        <v>184</v>
      </c>
      <c r="AS131">
        <f t="shared" si="104"/>
        <v>153</v>
      </c>
      <c r="AT131">
        <f t="shared" si="104"/>
        <v>122</v>
      </c>
      <c r="AU131">
        <f t="shared" si="104"/>
        <v>92</v>
      </c>
      <c r="AV131">
        <f t="shared" si="104"/>
        <v>61</v>
      </c>
      <c r="AW131">
        <f t="shared" si="104"/>
        <v>31</v>
      </c>
      <c r="AX131">
        <f t="shared" si="104"/>
        <v>0</v>
      </c>
      <c r="AY131">
        <f t="shared" ref="AY131:BI146" si="107">IF(($E131-AY$4)&gt;365,0,($E131-AY$4))</f>
        <v>0</v>
      </c>
      <c r="AZ131">
        <f t="shared" si="107"/>
        <v>0</v>
      </c>
      <c r="BA131">
        <f t="shared" si="107"/>
        <v>0</v>
      </c>
      <c r="BB131">
        <f t="shared" si="107"/>
        <v>0</v>
      </c>
      <c r="BC131">
        <f t="shared" si="107"/>
        <v>0</v>
      </c>
      <c r="BD131">
        <f t="shared" si="107"/>
        <v>0</v>
      </c>
      <c r="BE131">
        <f t="shared" si="107"/>
        <v>0</v>
      </c>
      <c r="BF131">
        <f t="shared" si="107"/>
        <v>0</v>
      </c>
      <c r="BG131">
        <f t="shared" si="107"/>
        <v>0</v>
      </c>
      <c r="BH131">
        <f t="shared" si="107"/>
        <v>365</v>
      </c>
      <c r="BI131">
        <f t="shared" si="107"/>
        <v>334</v>
      </c>
      <c r="BJ131">
        <f t="shared" ref="BJ131:BT146" si="108">IF(($E131-BJ$4)&gt;365,0,($E131-BJ$4))</f>
        <v>306</v>
      </c>
      <c r="BK131">
        <f t="shared" si="108"/>
        <v>275</v>
      </c>
      <c r="BL131">
        <f t="shared" si="108"/>
        <v>245</v>
      </c>
      <c r="BM131">
        <f t="shared" si="108"/>
        <v>214</v>
      </c>
      <c r="BN131">
        <f t="shared" si="108"/>
        <v>184</v>
      </c>
      <c r="BO131">
        <f t="shared" si="108"/>
        <v>153</v>
      </c>
      <c r="BP131">
        <f t="shared" si="108"/>
        <v>122</v>
      </c>
      <c r="BQ131">
        <f t="shared" si="108"/>
        <v>92</v>
      </c>
      <c r="BR131">
        <f t="shared" si="108"/>
        <v>61</v>
      </c>
      <c r="BS131">
        <f t="shared" si="108"/>
        <v>31</v>
      </c>
      <c r="BT131">
        <f t="shared" si="108"/>
        <v>0</v>
      </c>
    </row>
    <row r="132" spans="1:72" ht="12.95" customHeight="1" x14ac:dyDescent="0.2">
      <c r="A132">
        <f t="shared" si="92"/>
        <v>2026</v>
      </c>
      <c r="B132">
        <f t="shared" si="65"/>
        <v>2</v>
      </c>
      <c r="C132">
        <f t="shared" si="66"/>
        <v>1</v>
      </c>
      <c r="D132" s="11">
        <f>prod!A129</f>
        <v>46054</v>
      </c>
      <c r="E132" s="11">
        <f t="shared" si="67"/>
        <v>46418</v>
      </c>
      <c r="F132" s="10" t="str">
        <f>prod!B129</f>
        <v>משאיות רכוש</v>
      </c>
      <c r="G132" s="10" t="str">
        <f>prod!C129</f>
        <v>צמה</v>
      </c>
      <c r="H132" s="10">
        <f>prod!D129</f>
        <v>523636</v>
      </c>
      <c r="I132" s="10">
        <f>SUMIFS(info!C:C,info!$A:$A,data!$A132,info!$B:$B,data!$G132)</f>
        <v>0.11</v>
      </c>
      <c r="J132" s="10">
        <f>SUMIFS(info!D:D,info!$A:$A,data!$A132,info!$B:$B,data!$G132)</f>
        <v>0.95</v>
      </c>
      <c r="K132" s="10">
        <f>SUMIFS(info!E:E,info!$A:$A,data!$A132,info!$B:$B,data!$G132)</f>
        <v>0.22</v>
      </c>
      <c r="L132" s="10">
        <f>SUMIFS(info!F:F,info!$A:$A,data!$A132,info!$B:$B,data!$G132)</f>
        <v>0.7</v>
      </c>
      <c r="M132" s="10">
        <f>IF(SUMIFS(info!$C$25:$C$27,info!$A$25:$A$27,data!A132,info!$B$25:$B$27,data!F132)&lt;=0,1,SUMIFS(info!$C$25:$C$27,info!$A$25:$A$27,data!A132,info!$B$25:$B$27,data!F132))*H132</f>
        <v>523636</v>
      </c>
      <c r="N132" s="10">
        <f t="shared" si="68"/>
        <v>497454.19999999995</v>
      </c>
      <c r="O132" s="10">
        <f t="shared" si="69"/>
        <v>57599.96</v>
      </c>
      <c r="P132" s="10">
        <f t="shared" si="70"/>
        <v>109439.92399999998</v>
      </c>
      <c r="Q132" s="10">
        <f t="shared" si="71"/>
        <v>366545.19999999995</v>
      </c>
      <c r="R132" s="10">
        <f t="shared" si="72"/>
        <v>348217.93999999994</v>
      </c>
      <c r="S132" s="10">
        <f t="shared" si="73"/>
        <v>0</v>
      </c>
      <c r="T132" s="10">
        <f t="shared" si="106"/>
        <v>0</v>
      </c>
      <c r="U132" s="10">
        <f t="shared" si="106"/>
        <v>0</v>
      </c>
      <c r="V132" s="10">
        <f t="shared" si="106"/>
        <v>0</v>
      </c>
      <c r="W132" s="10">
        <f t="shared" si="106"/>
        <v>438993.46849315066</v>
      </c>
      <c r="X132" s="10">
        <f t="shared" si="106"/>
        <v>308443.12328767125</v>
      </c>
      <c r="Y132" s="10">
        <f t="shared" si="106"/>
        <v>176458.15890410959</v>
      </c>
      <c r="Z132" s="10">
        <f t="shared" si="106"/>
        <v>44473.194520547942</v>
      </c>
      <c r="AA132" s="10"/>
      <c r="AB132" s="10"/>
      <c r="AC132">
        <f t="shared" si="105"/>
        <v>0</v>
      </c>
      <c r="AD132">
        <f t="shared" si="105"/>
        <v>0</v>
      </c>
      <c r="AE132">
        <f t="shared" si="105"/>
        <v>0</v>
      </c>
      <c r="AF132">
        <f t="shared" si="105"/>
        <v>0</v>
      </c>
      <c r="AG132">
        <f t="shared" si="105"/>
        <v>0</v>
      </c>
      <c r="AH132">
        <f t="shared" si="105"/>
        <v>0</v>
      </c>
      <c r="AI132">
        <f t="shared" si="105"/>
        <v>0</v>
      </c>
      <c r="AJ132">
        <f t="shared" si="105"/>
        <v>0</v>
      </c>
      <c r="AK132">
        <f t="shared" si="105"/>
        <v>0</v>
      </c>
      <c r="AL132">
        <f t="shared" si="105"/>
        <v>0</v>
      </c>
      <c r="AM132">
        <f t="shared" si="105"/>
        <v>365</v>
      </c>
      <c r="AN132">
        <f t="shared" si="105"/>
        <v>337</v>
      </c>
      <c r="AO132">
        <f t="shared" si="105"/>
        <v>306</v>
      </c>
      <c r="AP132">
        <f t="shared" si="105"/>
        <v>276</v>
      </c>
      <c r="AQ132">
        <f t="shared" si="105"/>
        <v>245</v>
      </c>
      <c r="AR132">
        <f t="shared" si="105"/>
        <v>215</v>
      </c>
      <c r="AS132">
        <f t="shared" si="104"/>
        <v>184</v>
      </c>
      <c r="AT132">
        <f t="shared" si="104"/>
        <v>153</v>
      </c>
      <c r="AU132">
        <f t="shared" si="104"/>
        <v>123</v>
      </c>
      <c r="AV132">
        <f t="shared" si="104"/>
        <v>92</v>
      </c>
      <c r="AW132">
        <f t="shared" si="104"/>
        <v>62</v>
      </c>
      <c r="AX132">
        <f t="shared" si="104"/>
        <v>31</v>
      </c>
      <c r="AY132">
        <f t="shared" si="107"/>
        <v>0</v>
      </c>
      <c r="AZ132">
        <f t="shared" si="107"/>
        <v>0</v>
      </c>
      <c r="BA132">
        <f t="shared" si="107"/>
        <v>0</v>
      </c>
      <c r="BB132">
        <f t="shared" si="107"/>
        <v>0</v>
      </c>
      <c r="BC132">
        <f t="shared" si="107"/>
        <v>0</v>
      </c>
      <c r="BD132">
        <f t="shared" si="107"/>
        <v>0</v>
      </c>
      <c r="BE132">
        <f t="shared" si="107"/>
        <v>0</v>
      </c>
      <c r="BF132">
        <f t="shared" si="107"/>
        <v>0</v>
      </c>
      <c r="BG132">
        <f t="shared" si="107"/>
        <v>0</v>
      </c>
      <c r="BH132">
        <f t="shared" si="107"/>
        <v>0</v>
      </c>
      <c r="BI132">
        <f t="shared" si="107"/>
        <v>365</v>
      </c>
      <c r="BJ132">
        <f t="shared" si="108"/>
        <v>337</v>
      </c>
      <c r="BK132">
        <f t="shared" si="108"/>
        <v>306</v>
      </c>
      <c r="BL132">
        <f t="shared" si="108"/>
        <v>276</v>
      </c>
      <c r="BM132">
        <f t="shared" si="108"/>
        <v>245</v>
      </c>
      <c r="BN132">
        <f t="shared" si="108"/>
        <v>215</v>
      </c>
      <c r="BO132">
        <f t="shared" si="108"/>
        <v>184</v>
      </c>
      <c r="BP132">
        <f t="shared" si="108"/>
        <v>153</v>
      </c>
      <c r="BQ132">
        <f t="shared" si="108"/>
        <v>123</v>
      </c>
      <c r="BR132">
        <f t="shared" si="108"/>
        <v>92</v>
      </c>
      <c r="BS132">
        <f t="shared" si="108"/>
        <v>62</v>
      </c>
      <c r="BT132">
        <f t="shared" si="108"/>
        <v>31</v>
      </c>
    </row>
    <row r="133" spans="1:72" ht="12.95" customHeight="1" x14ac:dyDescent="0.2">
      <c r="A133">
        <f t="shared" si="92"/>
        <v>2026</v>
      </c>
      <c r="B133">
        <f t="shared" si="65"/>
        <v>3</v>
      </c>
      <c r="C133">
        <f t="shared" si="66"/>
        <v>1</v>
      </c>
      <c r="D133" s="11">
        <f>prod!A130</f>
        <v>46082</v>
      </c>
      <c r="E133" s="11">
        <f t="shared" si="67"/>
        <v>46446</v>
      </c>
      <c r="F133" s="10" t="str">
        <f>prod!B130</f>
        <v>משאיות רכוש</v>
      </c>
      <c r="G133" s="10" t="str">
        <f>prod!C130</f>
        <v>צמה</v>
      </c>
      <c r="H133" s="10">
        <f>prod!D130</f>
        <v>523636</v>
      </c>
      <c r="I133" s="10">
        <f>SUMIFS(info!C:C,info!$A:$A,data!$A133,info!$B:$B,data!$G133)</f>
        <v>0.11</v>
      </c>
      <c r="J133" s="10">
        <f>SUMIFS(info!D:D,info!$A:$A,data!$A133,info!$B:$B,data!$G133)</f>
        <v>0.95</v>
      </c>
      <c r="K133" s="10">
        <f>SUMIFS(info!E:E,info!$A:$A,data!$A133,info!$B:$B,data!$G133)</f>
        <v>0.22</v>
      </c>
      <c r="L133" s="10">
        <f>SUMIFS(info!F:F,info!$A:$A,data!$A133,info!$B:$B,data!$G133)</f>
        <v>0.7</v>
      </c>
      <c r="M133" s="10">
        <f>IF(SUMIFS(info!$C$25:$C$27,info!$A$25:$A$27,data!A133,info!$B$25:$B$27,data!F133)&lt;=0,1,SUMIFS(info!$C$25:$C$27,info!$A$25:$A$27,data!A133,info!$B$25:$B$27,data!F133))*H133</f>
        <v>523636</v>
      </c>
      <c r="N133" s="10">
        <f t="shared" si="68"/>
        <v>497454.19999999995</v>
      </c>
      <c r="O133" s="10">
        <f t="shared" si="69"/>
        <v>57599.96</v>
      </c>
      <c r="P133" s="10">
        <f t="shared" si="70"/>
        <v>109439.92399999998</v>
      </c>
      <c r="Q133" s="10">
        <f t="shared" si="71"/>
        <v>366545.19999999995</v>
      </c>
      <c r="R133" s="10">
        <f t="shared" si="72"/>
        <v>348217.93999999994</v>
      </c>
      <c r="S133" s="10">
        <f t="shared" si="73"/>
        <v>0</v>
      </c>
      <c r="T133" s="10">
        <f t="shared" si="106"/>
        <v>0</v>
      </c>
      <c r="U133" s="10">
        <f t="shared" si="106"/>
        <v>0</v>
      </c>
      <c r="V133" s="10">
        <f t="shared" si="106"/>
        <v>0</v>
      </c>
      <c r="W133" s="10">
        <f t="shared" si="106"/>
        <v>479162.80547945207</v>
      </c>
      <c r="X133" s="10">
        <f t="shared" si="106"/>
        <v>348612.4602739726</v>
      </c>
      <c r="Y133" s="10">
        <f t="shared" si="106"/>
        <v>216627.49589041097</v>
      </c>
      <c r="Z133" s="10">
        <f t="shared" si="106"/>
        <v>84642.531506849322</v>
      </c>
      <c r="AA133" s="10"/>
      <c r="AB133" s="10"/>
      <c r="AC133">
        <f t="shared" si="105"/>
        <v>0</v>
      </c>
      <c r="AD133">
        <f t="shared" si="105"/>
        <v>0</v>
      </c>
      <c r="AE133">
        <f t="shared" si="105"/>
        <v>0</v>
      </c>
      <c r="AF133">
        <f t="shared" si="105"/>
        <v>0</v>
      </c>
      <c r="AG133">
        <f t="shared" si="105"/>
        <v>0</v>
      </c>
      <c r="AH133">
        <f t="shared" si="105"/>
        <v>0</v>
      </c>
      <c r="AI133">
        <f t="shared" si="105"/>
        <v>0</v>
      </c>
      <c r="AJ133">
        <f t="shared" si="105"/>
        <v>0</v>
      </c>
      <c r="AK133">
        <f t="shared" si="105"/>
        <v>0</v>
      </c>
      <c r="AL133">
        <f t="shared" si="105"/>
        <v>0</v>
      </c>
      <c r="AM133">
        <f t="shared" si="105"/>
        <v>0</v>
      </c>
      <c r="AN133">
        <f t="shared" si="105"/>
        <v>365</v>
      </c>
      <c r="AO133">
        <f t="shared" si="105"/>
        <v>334</v>
      </c>
      <c r="AP133">
        <f t="shared" si="105"/>
        <v>304</v>
      </c>
      <c r="AQ133">
        <f t="shared" si="105"/>
        <v>273</v>
      </c>
      <c r="AR133">
        <f t="shared" ref="AR133:AX148" si="109">IF(($E133-AR$4)&gt;365,0,($E133-AR$4))</f>
        <v>243</v>
      </c>
      <c r="AS133">
        <f t="shared" si="109"/>
        <v>212</v>
      </c>
      <c r="AT133">
        <f t="shared" si="109"/>
        <v>181</v>
      </c>
      <c r="AU133">
        <f t="shared" si="109"/>
        <v>151</v>
      </c>
      <c r="AV133">
        <f t="shared" si="109"/>
        <v>120</v>
      </c>
      <c r="AW133">
        <f t="shared" si="109"/>
        <v>90</v>
      </c>
      <c r="AX133">
        <f t="shared" si="109"/>
        <v>59</v>
      </c>
      <c r="AY133">
        <f t="shared" si="107"/>
        <v>0</v>
      </c>
      <c r="AZ133">
        <f t="shared" si="107"/>
        <v>0</v>
      </c>
      <c r="BA133">
        <f t="shared" si="107"/>
        <v>0</v>
      </c>
      <c r="BB133">
        <f t="shared" si="107"/>
        <v>0</v>
      </c>
      <c r="BC133">
        <f t="shared" si="107"/>
        <v>0</v>
      </c>
      <c r="BD133">
        <f t="shared" si="107"/>
        <v>0</v>
      </c>
      <c r="BE133">
        <f t="shared" si="107"/>
        <v>0</v>
      </c>
      <c r="BF133">
        <f t="shared" si="107"/>
        <v>0</v>
      </c>
      <c r="BG133">
        <f t="shared" si="107"/>
        <v>0</v>
      </c>
      <c r="BH133">
        <f t="shared" si="107"/>
        <v>0</v>
      </c>
      <c r="BI133">
        <f t="shared" si="107"/>
        <v>0</v>
      </c>
      <c r="BJ133">
        <f t="shared" si="108"/>
        <v>365</v>
      </c>
      <c r="BK133">
        <f t="shared" si="108"/>
        <v>334</v>
      </c>
      <c r="BL133">
        <f t="shared" si="108"/>
        <v>304</v>
      </c>
      <c r="BM133">
        <f t="shared" si="108"/>
        <v>273</v>
      </c>
      <c r="BN133">
        <f t="shared" si="108"/>
        <v>243</v>
      </c>
      <c r="BO133">
        <f t="shared" si="108"/>
        <v>212</v>
      </c>
      <c r="BP133">
        <f t="shared" si="108"/>
        <v>181</v>
      </c>
      <c r="BQ133">
        <f t="shared" si="108"/>
        <v>151</v>
      </c>
      <c r="BR133">
        <f t="shared" si="108"/>
        <v>120</v>
      </c>
      <c r="BS133">
        <f t="shared" si="108"/>
        <v>90</v>
      </c>
      <c r="BT133">
        <f t="shared" si="108"/>
        <v>59</v>
      </c>
    </row>
    <row r="134" spans="1:72" ht="12.95" customHeight="1" x14ac:dyDescent="0.2">
      <c r="A134">
        <f t="shared" si="92"/>
        <v>2026</v>
      </c>
      <c r="B134">
        <f t="shared" ref="B134:B172" si="110">MONTH(D134)</f>
        <v>4</v>
      </c>
      <c r="C134">
        <f t="shared" ref="C134:C172" si="111">IF(MONTH(D134)&lt;=3,1,IF(MONTH(D134)&lt;=6,2,IF(MONTH(D134)&lt;=9,3,4)))</f>
        <v>2</v>
      </c>
      <c r="D134" s="11">
        <f>prod!A131</f>
        <v>46113</v>
      </c>
      <c r="E134" s="11">
        <f t="shared" ref="E134:E172" si="112">EDATE(D134,12)-1</f>
        <v>46477</v>
      </c>
      <c r="F134" s="10" t="str">
        <f>prod!B131</f>
        <v>משאיות רכוש</v>
      </c>
      <c r="G134" s="10" t="str">
        <f>prod!C131</f>
        <v>צמה</v>
      </c>
      <c r="H134" s="10">
        <f>prod!D131</f>
        <v>523636</v>
      </c>
      <c r="I134" s="10">
        <f>SUMIFS(info!C:C,info!$A:$A,data!$A134,info!$B:$B,data!$G134)</f>
        <v>0.11</v>
      </c>
      <c r="J134" s="10">
        <f>SUMIFS(info!D:D,info!$A:$A,data!$A134,info!$B:$B,data!$G134)</f>
        <v>0.95</v>
      </c>
      <c r="K134" s="10">
        <f>SUMIFS(info!E:E,info!$A:$A,data!$A134,info!$B:$B,data!$G134)</f>
        <v>0.22</v>
      </c>
      <c r="L134" s="10">
        <f>SUMIFS(info!F:F,info!$A:$A,data!$A134,info!$B:$B,data!$G134)</f>
        <v>0.7</v>
      </c>
      <c r="M134" s="10">
        <f>IF(SUMIFS(info!$C$25:$C$27,info!$A$25:$A$27,data!A134,info!$B$25:$B$27,data!F134)&lt;=0,1,SUMIFS(info!$C$25:$C$27,info!$A$25:$A$27,data!A134,info!$B$25:$B$27,data!F134))*H134</f>
        <v>523636</v>
      </c>
      <c r="N134" s="10">
        <f t="shared" ref="N134:N172" si="113">H134*J134</f>
        <v>497454.19999999995</v>
      </c>
      <c r="O134" s="10">
        <f t="shared" ref="O134:O172" si="114">H134*I134</f>
        <v>57599.96</v>
      </c>
      <c r="P134" s="10">
        <f t="shared" ref="P134:P172" si="115">N134*K134</f>
        <v>109439.92399999998</v>
      </c>
      <c r="Q134" s="10">
        <f t="shared" ref="Q134:Q172" si="116">H134*L134</f>
        <v>366545.19999999995</v>
      </c>
      <c r="R134" s="10">
        <f t="shared" ref="R134:R172" si="117">Q134*J134</f>
        <v>348217.93999999994</v>
      </c>
      <c r="S134" s="10">
        <f t="shared" ref="S134:Z172" si="118">IF($D134&gt;S$4,0,$M134*MAX(0,$E134-S$4)/($E134-$D134+1))</f>
        <v>0</v>
      </c>
      <c r="T134" s="10">
        <f t="shared" si="118"/>
        <v>0</v>
      </c>
      <c r="U134" s="10">
        <f t="shared" si="118"/>
        <v>0</v>
      </c>
      <c r="V134" s="10">
        <f t="shared" si="118"/>
        <v>0</v>
      </c>
      <c r="W134" s="10">
        <f t="shared" si="118"/>
        <v>0</v>
      </c>
      <c r="X134" s="10">
        <f t="shared" si="118"/>
        <v>393085.65479452052</v>
      </c>
      <c r="Y134" s="10">
        <f t="shared" si="118"/>
        <v>261100.69041095889</v>
      </c>
      <c r="Z134" s="10">
        <f t="shared" si="118"/>
        <v>129115.72602739726</v>
      </c>
      <c r="AA134" s="10"/>
      <c r="AB134" s="10"/>
      <c r="AC134">
        <f t="shared" ref="AC134:AR149" si="119">IF(($E134-AC$4)&gt;365,0,($E134-AC$4))</f>
        <v>0</v>
      </c>
      <c r="AD134">
        <f t="shared" si="119"/>
        <v>0</v>
      </c>
      <c r="AE134">
        <f t="shared" si="119"/>
        <v>0</v>
      </c>
      <c r="AF134">
        <f t="shared" si="119"/>
        <v>0</v>
      </c>
      <c r="AG134">
        <f t="shared" si="119"/>
        <v>0</v>
      </c>
      <c r="AH134">
        <f t="shared" si="119"/>
        <v>0</v>
      </c>
      <c r="AI134">
        <f t="shared" si="119"/>
        <v>0</v>
      </c>
      <c r="AJ134">
        <f t="shared" si="119"/>
        <v>0</v>
      </c>
      <c r="AK134">
        <f t="shared" si="119"/>
        <v>0</v>
      </c>
      <c r="AL134">
        <f t="shared" si="119"/>
        <v>0</v>
      </c>
      <c r="AM134">
        <f t="shared" si="119"/>
        <v>0</v>
      </c>
      <c r="AN134">
        <f t="shared" si="119"/>
        <v>0</v>
      </c>
      <c r="AO134">
        <f t="shared" si="119"/>
        <v>365</v>
      </c>
      <c r="AP134">
        <f t="shared" si="119"/>
        <v>335</v>
      </c>
      <c r="AQ134">
        <f t="shared" si="119"/>
        <v>304</v>
      </c>
      <c r="AR134">
        <f t="shared" si="109"/>
        <v>274</v>
      </c>
      <c r="AS134">
        <f t="shared" si="109"/>
        <v>243</v>
      </c>
      <c r="AT134">
        <f t="shared" si="109"/>
        <v>212</v>
      </c>
      <c r="AU134">
        <f t="shared" si="109"/>
        <v>182</v>
      </c>
      <c r="AV134">
        <f t="shared" si="109"/>
        <v>151</v>
      </c>
      <c r="AW134">
        <f t="shared" si="109"/>
        <v>121</v>
      </c>
      <c r="AX134">
        <f t="shared" si="109"/>
        <v>90</v>
      </c>
      <c r="AY134">
        <f t="shared" si="107"/>
        <v>0</v>
      </c>
      <c r="AZ134">
        <f t="shared" si="107"/>
        <v>0</v>
      </c>
      <c r="BA134">
        <f t="shared" si="107"/>
        <v>0</v>
      </c>
      <c r="BB134">
        <f t="shared" si="107"/>
        <v>0</v>
      </c>
      <c r="BC134">
        <f t="shared" si="107"/>
        <v>0</v>
      </c>
      <c r="BD134">
        <f t="shared" si="107"/>
        <v>0</v>
      </c>
      <c r="BE134">
        <f t="shared" si="107"/>
        <v>0</v>
      </c>
      <c r="BF134">
        <f t="shared" si="107"/>
        <v>0</v>
      </c>
      <c r="BG134">
        <f t="shared" si="107"/>
        <v>0</v>
      </c>
      <c r="BH134">
        <f t="shared" si="107"/>
        <v>0</v>
      </c>
      <c r="BI134">
        <f t="shared" si="107"/>
        <v>0</v>
      </c>
      <c r="BJ134">
        <f t="shared" si="108"/>
        <v>0</v>
      </c>
      <c r="BK134">
        <f t="shared" si="108"/>
        <v>365</v>
      </c>
      <c r="BL134">
        <f t="shared" si="108"/>
        <v>335</v>
      </c>
      <c r="BM134">
        <f t="shared" si="108"/>
        <v>304</v>
      </c>
      <c r="BN134">
        <f t="shared" si="108"/>
        <v>274</v>
      </c>
      <c r="BO134">
        <f t="shared" si="108"/>
        <v>243</v>
      </c>
      <c r="BP134">
        <f t="shared" si="108"/>
        <v>212</v>
      </c>
      <c r="BQ134">
        <f t="shared" si="108"/>
        <v>182</v>
      </c>
      <c r="BR134">
        <f t="shared" si="108"/>
        <v>151</v>
      </c>
      <c r="BS134">
        <f t="shared" si="108"/>
        <v>121</v>
      </c>
      <c r="BT134">
        <f t="shared" si="108"/>
        <v>90</v>
      </c>
    </row>
    <row r="135" spans="1:72" ht="12.95" customHeight="1" x14ac:dyDescent="0.2">
      <c r="A135">
        <f t="shared" si="92"/>
        <v>2026</v>
      </c>
      <c r="B135">
        <f t="shared" si="110"/>
        <v>5</v>
      </c>
      <c r="C135">
        <f t="shared" si="111"/>
        <v>2</v>
      </c>
      <c r="D135" s="11">
        <f>prod!A132</f>
        <v>46143</v>
      </c>
      <c r="E135" s="11">
        <f t="shared" si="112"/>
        <v>46507</v>
      </c>
      <c r="F135" s="10" t="str">
        <f>prod!B132</f>
        <v>משאיות רכוש</v>
      </c>
      <c r="G135" s="10" t="str">
        <f>prod!C132</f>
        <v>צמה</v>
      </c>
      <c r="H135" s="10">
        <f>prod!D132</f>
        <v>523636</v>
      </c>
      <c r="I135" s="10">
        <f>SUMIFS(info!C:C,info!$A:$A,data!$A135,info!$B:$B,data!$G135)</f>
        <v>0.11</v>
      </c>
      <c r="J135" s="10">
        <f>SUMIFS(info!D:D,info!$A:$A,data!$A135,info!$B:$B,data!$G135)</f>
        <v>0.95</v>
      </c>
      <c r="K135" s="10">
        <f>SUMIFS(info!E:E,info!$A:$A,data!$A135,info!$B:$B,data!$G135)</f>
        <v>0.22</v>
      </c>
      <c r="L135" s="10">
        <f>SUMIFS(info!F:F,info!$A:$A,data!$A135,info!$B:$B,data!$G135)</f>
        <v>0.7</v>
      </c>
      <c r="M135" s="10">
        <f>IF(SUMIFS(info!$C$25:$C$27,info!$A$25:$A$27,data!A135,info!$B$25:$B$27,data!F135)&lt;=0,1,SUMIFS(info!$C$25:$C$27,info!$A$25:$A$27,data!A135,info!$B$25:$B$27,data!F135))*H135</f>
        <v>523636</v>
      </c>
      <c r="N135" s="10">
        <f t="shared" si="113"/>
        <v>497454.19999999995</v>
      </c>
      <c r="O135" s="10">
        <f t="shared" si="114"/>
        <v>57599.96</v>
      </c>
      <c r="P135" s="10">
        <f t="shared" si="115"/>
        <v>109439.92399999998</v>
      </c>
      <c r="Q135" s="10">
        <f t="shared" si="116"/>
        <v>366545.19999999995</v>
      </c>
      <c r="R135" s="10">
        <f t="shared" si="117"/>
        <v>348217.93999999994</v>
      </c>
      <c r="S135" s="10">
        <f t="shared" si="118"/>
        <v>0</v>
      </c>
      <c r="T135" s="10">
        <f t="shared" si="118"/>
        <v>0</v>
      </c>
      <c r="U135" s="10">
        <f t="shared" si="118"/>
        <v>0</v>
      </c>
      <c r="V135" s="10">
        <f t="shared" si="118"/>
        <v>0</v>
      </c>
      <c r="W135" s="10">
        <f t="shared" si="118"/>
        <v>0</v>
      </c>
      <c r="X135" s="10">
        <f t="shared" si="118"/>
        <v>436124.2301369863</v>
      </c>
      <c r="Y135" s="10">
        <f t="shared" si="118"/>
        <v>304139.26575342467</v>
      </c>
      <c r="Z135" s="10">
        <f t="shared" si="118"/>
        <v>172154.30136986301</v>
      </c>
      <c r="AA135" s="10"/>
      <c r="AB135" s="10"/>
      <c r="AC135">
        <f t="shared" si="119"/>
        <v>0</v>
      </c>
      <c r="AD135">
        <f t="shared" si="119"/>
        <v>0</v>
      </c>
      <c r="AE135">
        <f t="shared" si="119"/>
        <v>0</v>
      </c>
      <c r="AF135">
        <f t="shared" si="119"/>
        <v>0</v>
      </c>
      <c r="AG135">
        <f t="shared" si="119"/>
        <v>0</v>
      </c>
      <c r="AH135">
        <f t="shared" si="119"/>
        <v>0</v>
      </c>
      <c r="AI135">
        <f t="shared" si="119"/>
        <v>0</v>
      </c>
      <c r="AJ135">
        <f t="shared" si="119"/>
        <v>0</v>
      </c>
      <c r="AK135">
        <f t="shared" si="119"/>
        <v>0</v>
      </c>
      <c r="AL135">
        <f t="shared" si="119"/>
        <v>0</v>
      </c>
      <c r="AM135">
        <f t="shared" si="119"/>
        <v>0</v>
      </c>
      <c r="AN135">
        <f t="shared" si="119"/>
        <v>0</v>
      </c>
      <c r="AO135">
        <f t="shared" si="119"/>
        <v>0</v>
      </c>
      <c r="AP135">
        <f t="shared" si="119"/>
        <v>365</v>
      </c>
      <c r="AQ135">
        <f t="shared" si="119"/>
        <v>334</v>
      </c>
      <c r="AR135">
        <f t="shared" si="109"/>
        <v>304</v>
      </c>
      <c r="AS135">
        <f t="shared" si="109"/>
        <v>273</v>
      </c>
      <c r="AT135">
        <f t="shared" si="109"/>
        <v>242</v>
      </c>
      <c r="AU135">
        <f t="shared" si="109"/>
        <v>212</v>
      </c>
      <c r="AV135">
        <f t="shared" si="109"/>
        <v>181</v>
      </c>
      <c r="AW135">
        <f t="shared" si="109"/>
        <v>151</v>
      </c>
      <c r="AX135">
        <f t="shared" si="109"/>
        <v>120</v>
      </c>
      <c r="AY135">
        <f t="shared" si="107"/>
        <v>0</v>
      </c>
      <c r="AZ135">
        <f t="shared" si="107"/>
        <v>0</v>
      </c>
      <c r="BA135">
        <f t="shared" si="107"/>
        <v>0</v>
      </c>
      <c r="BB135">
        <f t="shared" si="107"/>
        <v>0</v>
      </c>
      <c r="BC135">
        <f t="shared" si="107"/>
        <v>0</v>
      </c>
      <c r="BD135">
        <f t="shared" si="107"/>
        <v>0</v>
      </c>
      <c r="BE135">
        <f t="shared" si="107"/>
        <v>0</v>
      </c>
      <c r="BF135">
        <f t="shared" si="107"/>
        <v>0</v>
      </c>
      <c r="BG135">
        <f t="shared" si="107"/>
        <v>0</v>
      </c>
      <c r="BH135">
        <f t="shared" si="107"/>
        <v>0</v>
      </c>
      <c r="BI135">
        <f t="shared" si="107"/>
        <v>0</v>
      </c>
      <c r="BJ135">
        <f t="shared" si="108"/>
        <v>0</v>
      </c>
      <c r="BK135">
        <f t="shared" si="108"/>
        <v>0</v>
      </c>
      <c r="BL135">
        <f t="shared" si="108"/>
        <v>365</v>
      </c>
      <c r="BM135">
        <f t="shared" si="108"/>
        <v>334</v>
      </c>
      <c r="BN135">
        <f t="shared" si="108"/>
        <v>304</v>
      </c>
      <c r="BO135">
        <f t="shared" si="108"/>
        <v>273</v>
      </c>
      <c r="BP135">
        <f t="shared" si="108"/>
        <v>242</v>
      </c>
      <c r="BQ135">
        <f t="shared" si="108"/>
        <v>212</v>
      </c>
      <c r="BR135">
        <f t="shared" si="108"/>
        <v>181</v>
      </c>
      <c r="BS135">
        <f t="shared" si="108"/>
        <v>151</v>
      </c>
      <c r="BT135">
        <f t="shared" si="108"/>
        <v>120</v>
      </c>
    </row>
    <row r="136" spans="1:72" ht="12.95" customHeight="1" x14ac:dyDescent="0.2">
      <c r="A136">
        <f t="shared" si="92"/>
        <v>2026</v>
      </c>
      <c r="B136">
        <f t="shared" si="110"/>
        <v>6</v>
      </c>
      <c r="C136">
        <f t="shared" si="111"/>
        <v>2</v>
      </c>
      <c r="D136" s="11">
        <f>prod!A133</f>
        <v>46174</v>
      </c>
      <c r="E136" s="11">
        <f t="shared" si="112"/>
        <v>46538</v>
      </c>
      <c r="F136" s="10" t="str">
        <f>prod!B133</f>
        <v>משאיות רכוש</v>
      </c>
      <c r="G136" s="10" t="str">
        <f>prod!C133</f>
        <v>צמה</v>
      </c>
      <c r="H136" s="10">
        <f>prod!D133</f>
        <v>523636</v>
      </c>
      <c r="I136" s="10">
        <f>SUMIFS(info!C:C,info!$A:$A,data!$A136,info!$B:$B,data!$G136)</f>
        <v>0.11</v>
      </c>
      <c r="J136" s="10">
        <f>SUMIFS(info!D:D,info!$A:$A,data!$A136,info!$B:$B,data!$G136)</f>
        <v>0.95</v>
      </c>
      <c r="K136" s="10">
        <f>SUMIFS(info!E:E,info!$A:$A,data!$A136,info!$B:$B,data!$G136)</f>
        <v>0.22</v>
      </c>
      <c r="L136" s="10">
        <f>SUMIFS(info!F:F,info!$A:$A,data!$A136,info!$B:$B,data!$G136)</f>
        <v>0.7</v>
      </c>
      <c r="M136" s="10">
        <f>IF(SUMIFS(info!$C$25:$C$27,info!$A$25:$A$27,data!A136,info!$B$25:$B$27,data!F136)&lt;=0,1,SUMIFS(info!$C$25:$C$27,info!$A$25:$A$27,data!A136,info!$B$25:$B$27,data!F136))*H136</f>
        <v>523636</v>
      </c>
      <c r="N136" s="10">
        <f t="shared" si="113"/>
        <v>497454.19999999995</v>
      </c>
      <c r="O136" s="10">
        <f t="shared" si="114"/>
        <v>57599.96</v>
      </c>
      <c r="P136" s="10">
        <f t="shared" si="115"/>
        <v>109439.92399999998</v>
      </c>
      <c r="Q136" s="10">
        <f t="shared" si="116"/>
        <v>366545.19999999995</v>
      </c>
      <c r="R136" s="10">
        <f t="shared" si="117"/>
        <v>348217.93999999994</v>
      </c>
      <c r="S136" s="10">
        <f t="shared" si="118"/>
        <v>0</v>
      </c>
      <c r="T136" s="10">
        <f t="shared" si="118"/>
        <v>0</v>
      </c>
      <c r="U136" s="10">
        <f t="shared" si="118"/>
        <v>0</v>
      </c>
      <c r="V136" s="10">
        <f t="shared" si="118"/>
        <v>0</v>
      </c>
      <c r="W136" s="10">
        <f t="shared" si="118"/>
        <v>0</v>
      </c>
      <c r="X136" s="10">
        <f t="shared" si="118"/>
        <v>480597.42465753423</v>
      </c>
      <c r="Y136" s="10">
        <f t="shared" si="118"/>
        <v>348612.4602739726</v>
      </c>
      <c r="Z136" s="10">
        <f t="shared" si="118"/>
        <v>216627.49589041097</v>
      </c>
      <c r="AA136" s="10"/>
      <c r="AB136" s="10"/>
      <c r="AC136">
        <f t="shared" si="119"/>
        <v>0</v>
      </c>
      <c r="AD136">
        <f t="shared" si="119"/>
        <v>0</v>
      </c>
      <c r="AE136">
        <f t="shared" si="119"/>
        <v>0</v>
      </c>
      <c r="AF136">
        <f t="shared" si="119"/>
        <v>0</v>
      </c>
      <c r="AG136">
        <f t="shared" si="119"/>
        <v>0</v>
      </c>
      <c r="AH136">
        <f t="shared" si="119"/>
        <v>0</v>
      </c>
      <c r="AI136">
        <f t="shared" si="119"/>
        <v>0</v>
      </c>
      <c r="AJ136">
        <f t="shared" si="119"/>
        <v>0</v>
      </c>
      <c r="AK136">
        <f t="shared" si="119"/>
        <v>0</v>
      </c>
      <c r="AL136">
        <f t="shared" si="119"/>
        <v>0</v>
      </c>
      <c r="AM136">
        <f t="shared" si="119"/>
        <v>0</v>
      </c>
      <c r="AN136">
        <f t="shared" si="119"/>
        <v>0</v>
      </c>
      <c r="AO136">
        <f t="shared" si="119"/>
        <v>0</v>
      </c>
      <c r="AP136">
        <f t="shared" si="119"/>
        <v>0</v>
      </c>
      <c r="AQ136">
        <f t="shared" si="119"/>
        <v>365</v>
      </c>
      <c r="AR136">
        <f t="shared" si="109"/>
        <v>335</v>
      </c>
      <c r="AS136">
        <f t="shared" si="109"/>
        <v>304</v>
      </c>
      <c r="AT136">
        <f t="shared" si="109"/>
        <v>273</v>
      </c>
      <c r="AU136">
        <f t="shared" si="109"/>
        <v>243</v>
      </c>
      <c r="AV136">
        <f t="shared" si="109"/>
        <v>212</v>
      </c>
      <c r="AW136">
        <f t="shared" si="109"/>
        <v>182</v>
      </c>
      <c r="AX136">
        <f t="shared" si="109"/>
        <v>151</v>
      </c>
      <c r="AY136">
        <f t="shared" si="107"/>
        <v>0</v>
      </c>
      <c r="AZ136">
        <f t="shared" si="107"/>
        <v>0</v>
      </c>
      <c r="BA136">
        <f t="shared" si="107"/>
        <v>0</v>
      </c>
      <c r="BB136">
        <f t="shared" si="107"/>
        <v>0</v>
      </c>
      <c r="BC136">
        <f t="shared" si="107"/>
        <v>0</v>
      </c>
      <c r="BD136">
        <f t="shared" si="107"/>
        <v>0</v>
      </c>
      <c r="BE136">
        <f t="shared" si="107"/>
        <v>0</v>
      </c>
      <c r="BF136">
        <f t="shared" si="107"/>
        <v>0</v>
      </c>
      <c r="BG136">
        <f t="shared" si="107"/>
        <v>0</v>
      </c>
      <c r="BH136">
        <f t="shared" si="107"/>
        <v>0</v>
      </c>
      <c r="BI136">
        <f t="shared" si="107"/>
        <v>0</v>
      </c>
      <c r="BJ136">
        <f t="shared" si="108"/>
        <v>0</v>
      </c>
      <c r="BK136">
        <f t="shared" si="108"/>
        <v>0</v>
      </c>
      <c r="BL136">
        <f t="shared" si="108"/>
        <v>0</v>
      </c>
      <c r="BM136">
        <f t="shared" si="108"/>
        <v>365</v>
      </c>
      <c r="BN136">
        <f t="shared" si="108"/>
        <v>335</v>
      </c>
      <c r="BO136">
        <f t="shared" si="108"/>
        <v>304</v>
      </c>
      <c r="BP136">
        <f t="shared" si="108"/>
        <v>273</v>
      </c>
      <c r="BQ136">
        <f t="shared" si="108"/>
        <v>243</v>
      </c>
      <c r="BR136">
        <f t="shared" si="108"/>
        <v>212</v>
      </c>
      <c r="BS136">
        <f t="shared" si="108"/>
        <v>182</v>
      </c>
      <c r="BT136">
        <f t="shared" si="108"/>
        <v>151</v>
      </c>
    </row>
    <row r="137" spans="1:72" ht="12.95" customHeight="1" x14ac:dyDescent="0.2">
      <c r="A137">
        <f t="shared" si="92"/>
        <v>2026</v>
      </c>
      <c r="B137">
        <f t="shared" si="110"/>
        <v>7</v>
      </c>
      <c r="C137">
        <f t="shared" si="111"/>
        <v>3</v>
      </c>
      <c r="D137" s="11">
        <f>prod!A134</f>
        <v>46204</v>
      </c>
      <c r="E137" s="11">
        <f t="shared" si="112"/>
        <v>46568</v>
      </c>
      <c r="F137" s="10" t="str">
        <f>prod!B134</f>
        <v>משאיות רכוש</v>
      </c>
      <c r="G137" s="10" t="str">
        <f>prod!C134</f>
        <v>צמה</v>
      </c>
      <c r="H137" s="10">
        <f>prod!D134</f>
        <v>523636</v>
      </c>
      <c r="I137" s="10">
        <f>SUMIFS(info!C:C,info!$A:$A,data!$A137,info!$B:$B,data!$G137)</f>
        <v>0.11</v>
      </c>
      <c r="J137" s="10">
        <f>SUMIFS(info!D:D,info!$A:$A,data!$A137,info!$B:$B,data!$G137)</f>
        <v>0.95</v>
      </c>
      <c r="K137" s="10">
        <f>SUMIFS(info!E:E,info!$A:$A,data!$A137,info!$B:$B,data!$G137)</f>
        <v>0.22</v>
      </c>
      <c r="L137" s="10">
        <f>SUMIFS(info!F:F,info!$A:$A,data!$A137,info!$B:$B,data!$G137)</f>
        <v>0.7</v>
      </c>
      <c r="M137" s="10">
        <f>IF(SUMIFS(info!$C$25:$C$27,info!$A$25:$A$27,data!A137,info!$B$25:$B$27,data!F137)&lt;=0,1,SUMIFS(info!$C$25:$C$27,info!$A$25:$A$27,data!A137,info!$B$25:$B$27,data!F137))*H137</f>
        <v>523636</v>
      </c>
      <c r="N137" s="10">
        <f t="shared" si="113"/>
        <v>497454.19999999995</v>
      </c>
      <c r="O137" s="10">
        <f t="shared" si="114"/>
        <v>57599.96</v>
      </c>
      <c r="P137" s="10">
        <f t="shared" si="115"/>
        <v>109439.92399999998</v>
      </c>
      <c r="Q137" s="10">
        <f t="shared" si="116"/>
        <v>366545.19999999995</v>
      </c>
      <c r="R137" s="10">
        <f t="shared" si="117"/>
        <v>348217.93999999994</v>
      </c>
      <c r="S137" s="10">
        <f t="shared" si="118"/>
        <v>0</v>
      </c>
      <c r="T137" s="10">
        <f t="shared" si="118"/>
        <v>0</v>
      </c>
      <c r="U137" s="10">
        <f t="shared" si="118"/>
        <v>0</v>
      </c>
      <c r="V137" s="10">
        <f t="shared" si="118"/>
        <v>0</v>
      </c>
      <c r="W137" s="10">
        <f t="shared" si="118"/>
        <v>0</v>
      </c>
      <c r="X137" s="10">
        <f t="shared" si="118"/>
        <v>0</v>
      </c>
      <c r="Y137" s="10">
        <f t="shared" si="118"/>
        <v>391651.03561643837</v>
      </c>
      <c r="Z137" s="10">
        <f t="shared" si="118"/>
        <v>259666.07123287671</v>
      </c>
      <c r="AA137" s="10"/>
      <c r="AB137" s="10"/>
      <c r="AC137">
        <f t="shared" si="119"/>
        <v>0</v>
      </c>
      <c r="AD137">
        <f t="shared" si="119"/>
        <v>0</v>
      </c>
      <c r="AE137">
        <f t="shared" si="119"/>
        <v>0</v>
      </c>
      <c r="AF137">
        <f t="shared" si="119"/>
        <v>0</v>
      </c>
      <c r="AG137">
        <f t="shared" si="119"/>
        <v>0</v>
      </c>
      <c r="AH137">
        <f t="shared" si="119"/>
        <v>0</v>
      </c>
      <c r="AI137">
        <f t="shared" si="119"/>
        <v>0</v>
      </c>
      <c r="AJ137">
        <f t="shared" si="119"/>
        <v>0</v>
      </c>
      <c r="AK137">
        <f t="shared" si="119"/>
        <v>0</v>
      </c>
      <c r="AL137">
        <f t="shared" si="119"/>
        <v>0</v>
      </c>
      <c r="AM137">
        <f t="shared" si="119"/>
        <v>0</v>
      </c>
      <c r="AN137">
        <f t="shared" si="119"/>
        <v>0</v>
      </c>
      <c r="AO137">
        <f t="shared" si="119"/>
        <v>0</v>
      </c>
      <c r="AP137">
        <f t="shared" si="119"/>
        <v>0</v>
      </c>
      <c r="AQ137">
        <f t="shared" si="119"/>
        <v>0</v>
      </c>
      <c r="AR137">
        <f t="shared" si="109"/>
        <v>365</v>
      </c>
      <c r="AS137">
        <f t="shared" si="109"/>
        <v>334</v>
      </c>
      <c r="AT137">
        <f t="shared" si="109"/>
        <v>303</v>
      </c>
      <c r="AU137">
        <f t="shared" si="109"/>
        <v>273</v>
      </c>
      <c r="AV137">
        <f t="shared" si="109"/>
        <v>242</v>
      </c>
      <c r="AW137">
        <f t="shared" si="109"/>
        <v>212</v>
      </c>
      <c r="AX137">
        <f t="shared" si="109"/>
        <v>181</v>
      </c>
      <c r="AY137">
        <f t="shared" si="107"/>
        <v>0</v>
      </c>
      <c r="AZ137">
        <f t="shared" si="107"/>
        <v>0</v>
      </c>
      <c r="BA137">
        <f t="shared" si="107"/>
        <v>0</v>
      </c>
      <c r="BB137">
        <f t="shared" si="107"/>
        <v>0</v>
      </c>
      <c r="BC137">
        <f t="shared" si="107"/>
        <v>0</v>
      </c>
      <c r="BD137">
        <f t="shared" si="107"/>
        <v>0</v>
      </c>
      <c r="BE137">
        <f t="shared" si="107"/>
        <v>0</v>
      </c>
      <c r="BF137">
        <f t="shared" si="107"/>
        <v>0</v>
      </c>
      <c r="BG137">
        <f t="shared" si="107"/>
        <v>0</v>
      </c>
      <c r="BH137">
        <f t="shared" si="107"/>
        <v>0</v>
      </c>
      <c r="BI137">
        <f t="shared" si="107"/>
        <v>0</v>
      </c>
      <c r="BJ137">
        <f t="shared" si="108"/>
        <v>0</v>
      </c>
      <c r="BK137">
        <f t="shared" si="108"/>
        <v>0</v>
      </c>
      <c r="BL137">
        <f t="shared" si="108"/>
        <v>0</v>
      </c>
      <c r="BM137">
        <f t="shared" si="108"/>
        <v>0</v>
      </c>
      <c r="BN137">
        <f t="shared" si="108"/>
        <v>365</v>
      </c>
      <c r="BO137">
        <f t="shared" si="108"/>
        <v>334</v>
      </c>
      <c r="BP137">
        <f t="shared" si="108"/>
        <v>303</v>
      </c>
      <c r="BQ137">
        <f t="shared" si="108"/>
        <v>273</v>
      </c>
      <c r="BR137">
        <f t="shared" si="108"/>
        <v>242</v>
      </c>
      <c r="BS137">
        <f t="shared" si="108"/>
        <v>212</v>
      </c>
      <c r="BT137">
        <f t="shared" si="108"/>
        <v>181</v>
      </c>
    </row>
    <row r="138" spans="1:72" ht="12.95" customHeight="1" x14ac:dyDescent="0.2">
      <c r="A138">
        <f t="shared" si="92"/>
        <v>2026</v>
      </c>
      <c r="B138">
        <f t="shared" si="110"/>
        <v>8</v>
      </c>
      <c r="C138">
        <f t="shared" si="111"/>
        <v>3</v>
      </c>
      <c r="D138" s="11">
        <f>prod!A135</f>
        <v>46235</v>
      </c>
      <c r="E138" s="11">
        <f t="shared" si="112"/>
        <v>46599</v>
      </c>
      <c r="F138" s="10" t="str">
        <f>prod!B135</f>
        <v>משאיות רכוש</v>
      </c>
      <c r="G138" s="10" t="str">
        <f>prod!C135</f>
        <v>צמה</v>
      </c>
      <c r="H138" s="10">
        <f>prod!D135</f>
        <v>523636</v>
      </c>
      <c r="I138" s="10">
        <f>SUMIFS(info!C:C,info!$A:$A,data!$A138,info!$B:$B,data!$G138)</f>
        <v>0.11</v>
      </c>
      <c r="J138" s="10">
        <f>SUMIFS(info!D:D,info!$A:$A,data!$A138,info!$B:$B,data!$G138)</f>
        <v>0.95</v>
      </c>
      <c r="K138" s="10">
        <f>SUMIFS(info!E:E,info!$A:$A,data!$A138,info!$B:$B,data!$G138)</f>
        <v>0.22</v>
      </c>
      <c r="L138" s="10">
        <f>SUMIFS(info!F:F,info!$A:$A,data!$A138,info!$B:$B,data!$G138)</f>
        <v>0.7</v>
      </c>
      <c r="M138" s="10">
        <f>IF(SUMIFS(info!$C$25:$C$27,info!$A$25:$A$27,data!A138,info!$B$25:$B$27,data!F138)&lt;=0,1,SUMIFS(info!$C$25:$C$27,info!$A$25:$A$27,data!A138,info!$B$25:$B$27,data!F138))*H138</f>
        <v>523636</v>
      </c>
      <c r="N138" s="10">
        <f t="shared" si="113"/>
        <v>497454.19999999995</v>
      </c>
      <c r="O138" s="10">
        <f t="shared" si="114"/>
        <v>57599.96</v>
      </c>
      <c r="P138" s="10">
        <f t="shared" si="115"/>
        <v>109439.92399999998</v>
      </c>
      <c r="Q138" s="10">
        <f t="shared" si="116"/>
        <v>366545.19999999995</v>
      </c>
      <c r="R138" s="10">
        <f t="shared" si="117"/>
        <v>348217.93999999994</v>
      </c>
      <c r="S138" s="10">
        <f t="shared" si="118"/>
        <v>0</v>
      </c>
      <c r="T138" s="10">
        <f t="shared" si="118"/>
        <v>0</v>
      </c>
      <c r="U138" s="10">
        <f t="shared" si="118"/>
        <v>0</v>
      </c>
      <c r="V138" s="10">
        <f t="shared" si="118"/>
        <v>0</v>
      </c>
      <c r="W138" s="10">
        <f t="shared" si="118"/>
        <v>0</v>
      </c>
      <c r="X138" s="10">
        <f t="shared" si="118"/>
        <v>0</v>
      </c>
      <c r="Y138" s="10">
        <f t="shared" si="118"/>
        <v>436124.2301369863</v>
      </c>
      <c r="Z138" s="10">
        <f t="shared" si="118"/>
        <v>304139.26575342467</v>
      </c>
      <c r="AA138" s="10"/>
      <c r="AB138" s="10"/>
      <c r="AC138">
        <f t="shared" si="119"/>
        <v>0</v>
      </c>
      <c r="AD138">
        <f t="shared" si="119"/>
        <v>0</v>
      </c>
      <c r="AE138">
        <f t="shared" si="119"/>
        <v>0</v>
      </c>
      <c r="AF138">
        <f t="shared" si="119"/>
        <v>0</v>
      </c>
      <c r="AG138">
        <f t="shared" si="119"/>
        <v>0</v>
      </c>
      <c r="AH138">
        <f t="shared" si="119"/>
        <v>0</v>
      </c>
      <c r="AI138">
        <f t="shared" si="119"/>
        <v>0</v>
      </c>
      <c r="AJ138">
        <f t="shared" si="119"/>
        <v>0</v>
      </c>
      <c r="AK138">
        <f t="shared" si="119"/>
        <v>0</v>
      </c>
      <c r="AL138">
        <f t="shared" si="119"/>
        <v>0</v>
      </c>
      <c r="AM138">
        <f t="shared" si="119"/>
        <v>0</v>
      </c>
      <c r="AN138">
        <f t="shared" si="119"/>
        <v>0</v>
      </c>
      <c r="AO138">
        <f t="shared" si="119"/>
        <v>0</v>
      </c>
      <c r="AP138">
        <f t="shared" si="119"/>
        <v>0</v>
      </c>
      <c r="AQ138">
        <f t="shared" si="119"/>
        <v>0</v>
      </c>
      <c r="AR138">
        <f t="shared" si="109"/>
        <v>0</v>
      </c>
      <c r="AS138">
        <f t="shared" si="109"/>
        <v>365</v>
      </c>
      <c r="AT138">
        <f t="shared" si="109"/>
        <v>334</v>
      </c>
      <c r="AU138">
        <f t="shared" si="109"/>
        <v>304</v>
      </c>
      <c r="AV138">
        <f t="shared" si="109"/>
        <v>273</v>
      </c>
      <c r="AW138">
        <f t="shared" si="109"/>
        <v>243</v>
      </c>
      <c r="AX138">
        <f t="shared" si="109"/>
        <v>212</v>
      </c>
      <c r="AY138">
        <f t="shared" si="107"/>
        <v>0</v>
      </c>
      <c r="AZ138">
        <f t="shared" si="107"/>
        <v>0</v>
      </c>
      <c r="BA138">
        <f t="shared" si="107"/>
        <v>0</v>
      </c>
      <c r="BB138">
        <f t="shared" si="107"/>
        <v>0</v>
      </c>
      <c r="BC138">
        <f t="shared" si="107"/>
        <v>0</v>
      </c>
      <c r="BD138">
        <f t="shared" si="107"/>
        <v>0</v>
      </c>
      <c r="BE138">
        <f t="shared" si="107"/>
        <v>0</v>
      </c>
      <c r="BF138">
        <f t="shared" si="107"/>
        <v>0</v>
      </c>
      <c r="BG138">
        <f t="shared" si="107"/>
        <v>0</v>
      </c>
      <c r="BH138">
        <f t="shared" si="107"/>
        <v>0</v>
      </c>
      <c r="BI138">
        <f t="shared" si="107"/>
        <v>0</v>
      </c>
      <c r="BJ138">
        <f t="shared" si="108"/>
        <v>0</v>
      </c>
      <c r="BK138">
        <f t="shared" si="108"/>
        <v>0</v>
      </c>
      <c r="BL138">
        <f t="shared" si="108"/>
        <v>0</v>
      </c>
      <c r="BM138">
        <f t="shared" si="108"/>
        <v>0</v>
      </c>
      <c r="BN138">
        <f t="shared" si="108"/>
        <v>0</v>
      </c>
      <c r="BO138">
        <f t="shared" si="108"/>
        <v>365</v>
      </c>
      <c r="BP138">
        <f t="shared" si="108"/>
        <v>334</v>
      </c>
      <c r="BQ138">
        <f t="shared" si="108"/>
        <v>304</v>
      </c>
      <c r="BR138">
        <f t="shared" si="108"/>
        <v>273</v>
      </c>
      <c r="BS138">
        <f t="shared" si="108"/>
        <v>243</v>
      </c>
      <c r="BT138">
        <f t="shared" si="108"/>
        <v>212</v>
      </c>
    </row>
    <row r="139" spans="1:72" ht="12.95" customHeight="1" x14ac:dyDescent="0.2">
      <c r="A139">
        <f t="shared" si="92"/>
        <v>2026</v>
      </c>
      <c r="B139">
        <f t="shared" si="110"/>
        <v>9</v>
      </c>
      <c r="C139">
        <f t="shared" si="111"/>
        <v>3</v>
      </c>
      <c r="D139" s="11">
        <f>prod!A136</f>
        <v>46266</v>
      </c>
      <c r="E139" s="11">
        <f t="shared" si="112"/>
        <v>46630</v>
      </c>
      <c r="F139" s="10" t="str">
        <f>prod!B136</f>
        <v>משאיות רכוש</v>
      </c>
      <c r="G139" s="10" t="str">
        <f>prod!C136</f>
        <v>צמה</v>
      </c>
      <c r="H139" s="10">
        <f>prod!D136</f>
        <v>523636</v>
      </c>
      <c r="I139" s="10">
        <f>SUMIFS(info!C:C,info!$A:$A,data!$A139,info!$B:$B,data!$G139)</f>
        <v>0.11</v>
      </c>
      <c r="J139" s="10">
        <f>SUMIFS(info!D:D,info!$A:$A,data!$A139,info!$B:$B,data!$G139)</f>
        <v>0.95</v>
      </c>
      <c r="K139" s="10">
        <f>SUMIFS(info!E:E,info!$A:$A,data!$A139,info!$B:$B,data!$G139)</f>
        <v>0.22</v>
      </c>
      <c r="L139" s="10">
        <f>SUMIFS(info!F:F,info!$A:$A,data!$A139,info!$B:$B,data!$G139)</f>
        <v>0.7</v>
      </c>
      <c r="M139" s="10">
        <f>IF(SUMIFS(info!$C$25:$C$27,info!$A$25:$A$27,data!A139,info!$B$25:$B$27,data!F139)&lt;=0,1,SUMIFS(info!$C$25:$C$27,info!$A$25:$A$27,data!A139,info!$B$25:$B$27,data!F139))*H139</f>
        <v>523636</v>
      </c>
      <c r="N139" s="10">
        <f t="shared" si="113"/>
        <v>497454.19999999995</v>
      </c>
      <c r="O139" s="10">
        <f t="shared" si="114"/>
        <v>57599.96</v>
      </c>
      <c r="P139" s="10">
        <f t="shared" si="115"/>
        <v>109439.92399999998</v>
      </c>
      <c r="Q139" s="10">
        <f t="shared" si="116"/>
        <v>366545.19999999995</v>
      </c>
      <c r="R139" s="10">
        <f t="shared" si="117"/>
        <v>348217.93999999994</v>
      </c>
      <c r="S139" s="10">
        <f t="shared" si="118"/>
        <v>0</v>
      </c>
      <c r="T139" s="10">
        <f t="shared" si="118"/>
        <v>0</v>
      </c>
      <c r="U139" s="10">
        <f t="shared" si="118"/>
        <v>0</v>
      </c>
      <c r="V139" s="10">
        <f t="shared" si="118"/>
        <v>0</v>
      </c>
      <c r="W139" s="10">
        <f t="shared" si="118"/>
        <v>0</v>
      </c>
      <c r="X139" s="10">
        <f t="shared" si="118"/>
        <v>0</v>
      </c>
      <c r="Y139" s="10">
        <f t="shared" si="118"/>
        <v>480597.42465753423</v>
      </c>
      <c r="Z139" s="10">
        <f t="shared" si="118"/>
        <v>348612.4602739726</v>
      </c>
      <c r="AA139" s="10"/>
      <c r="AB139" s="10"/>
      <c r="AC139">
        <f t="shared" si="119"/>
        <v>0</v>
      </c>
      <c r="AD139">
        <f t="shared" si="119"/>
        <v>0</v>
      </c>
      <c r="AE139">
        <f t="shared" si="119"/>
        <v>0</v>
      </c>
      <c r="AF139">
        <f t="shared" si="119"/>
        <v>0</v>
      </c>
      <c r="AG139">
        <f t="shared" si="119"/>
        <v>0</v>
      </c>
      <c r="AH139">
        <f t="shared" si="119"/>
        <v>0</v>
      </c>
      <c r="AI139">
        <f t="shared" si="119"/>
        <v>0</v>
      </c>
      <c r="AJ139">
        <f t="shared" si="119"/>
        <v>0</v>
      </c>
      <c r="AK139">
        <f t="shared" si="119"/>
        <v>0</v>
      </c>
      <c r="AL139">
        <f t="shared" si="119"/>
        <v>0</v>
      </c>
      <c r="AM139">
        <f t="shared" si="119"/>
        <v>0</v>
      </c>
      <c r="AN139">
        <f t="shared" si="119"/>
        <v>0</v>
      </c>
      <c r="AO139">
        <f t="shared" si="119"/>
        <v>0</v>
      </c>
      <c r="AP139">
        <f t="shared" si="119"/>
        <v>0</v>
      </c>
      <c r="AQ139">
        <f t="shared" si="119"/>
        <v>0</v>
      </c>
      <c r="AR139">
        <f t="shared" si="109"/>
        <v>0</v>
      </c>
      <c r="AS139">
        <f t="shared" si="109"/>
        <v>0</v>
      </c>
      <c r="AT139">
        <f t="shared" si="109"/>
        <v>365</v>
      </c>
      <c r="AU139">
        <f t="shared" si="109"/>
        <v>335</v>
      </c>
      <c r="AV139">
        <f t="shared" si="109"/>
        <v>304</v>
      </c>
      <c r="AW139">
        <f t="shared" si="109"/>
        <v>274</v>
      </c>
      <c r="AX139">
        <f t="shared" si="109"/>
        <v>243</v>
      </c>
      <c r="AY139">
        <f t="shared" si="107"/>
        <v>0</v>
      </c>
      <c r="AZ139">
        <f t="shared" si="107"/>
        <v>0</v>
      </c>
      <c r="BA139">
        <f t="shared" si="107"/>
        <v>0</v>
      </c>
      <c r="BB139">
        <f t="shared" si="107"/>
        <v>0</v>
      </c>
      <c r="BC139">
        <f t="shared" si="107"/>
        <v>0</v>
      </c>
      <c r="BD139">
        <f t="shared" si="107"/>
        <v>0</v>
      </c>
      <c r="BE139">
        <f t="shared" si="107"/>
        <v>0</v>
      </c>
      <c r="BF139">
        <f t="shared" si="107"/>
        <v>0</v>
      </c>
      <c r="BG139">
        <f t="shared" si="107"/>
        <v>0</v>
      </c>
      <c r="BH139">
        <f t="shared" si="107"/>
        <v>0</v>
      </c>
      <c r="BI139">
        <f t="shared" si="107"/>
        <v>0</v>
      </c>
      <c r="BJ139">
        <f t="shared" si="108"/>
        <v>0</v>
      </c>
      <c r="BK139">
        <f t="shared" si="108"/>
        <v>0</v>
      </c>
      <c r="BL139">
        <f t="shared" si="108"/>
        <v>0</v>
      </c>
      <c r="BM139">
        <f t="shared" si="108"/>
        <v>0</v>
      </c>
      <c r="BN139">
        <f t="shared" si="108"/>
        <v>0</v>
      </c>
      <c r="BO139">
        <f t="shared" si="108"/>
        <v>0</v>
      </c>
      <c r="BP139">
        <f t="shared" si="108"/>
        <v>365</v>
      </c>
      <c r="BQ139">
        <f t="shared" si="108"/>
        <v>335</v>
      </c>
      <c r="BR139">
        <f t="shared" si="108"/>
        <v>304</v>
      </c>
      <c r="BS139">
        <f t="shared" si="108"/>
        <v>274</v>
      </c>
      <c r="BT139">
        <f t="shared" si="108"/>
        <v>243</v>
      </c>
    </row>
    <row r="140" spans="1:72" ht="12.95" customHeight="1" x14ac:dyDescent="0.2">
      <c r="A140">
        <f t="shared" si="92"/>
        <v>2026</v>
      </c>
      <c r="B140">
        <f t="shared" si="110"/>
        <v>10</v>
      </c>
      <c r="C140">
        <f t="shared" si="111"/>
        <v>4</v>
      </c>
      <c r="D140" s="11">
        <f>prod!A137</f>
        <v>46296</v>
      </c>
      <c r="E140" s="11">
        <f t="shared" si="112"/>
        <v>46660</v>
      </c>
      <c r="F140" s="10" t="str">
        <f>prod!B137</f>
        <v>משאיות רכוש</v>
      </c>
      <c r="G140" s="10" t="str">
        <f>prod!C137</f>
        <v>צמה</v>
      </c>
      <c r="H140" s="10">
        <f>prod!D137</f>
        <v>523636</v>
      </c>
      <c r="I140" s="10">
        <f>SUMIFS(info!C:C,info!$A:$A,data!$A140,info!$B:$B,data!$G140)</f>
        <v>0.11</v>
      </c>
      <c r="J140" s="10">
        <f>SUMIFS(info!D:D,info!$A:$A,data!$A140,info!$B:$B,data!$G140)</f>
        <v>0.95</v>
      </c>
      <c r="K140" s="10">
        <f>SUMIFS(info!E:E,info!$A:$A,data!$A140,info!$B:$B,data!$G140)</f>
        <v>0.22</v>
      </c>
      <c r="L140" s="10">
        <f>SUMIFS(info!F:F,info!$A:$A,data!$A140,info!$B:$B,data!$G140)</f>
        <v>0.7</v>
      </c>
      <c r="M140" s="10">
        <f>IF(SUMIFS(info!$C$25:$C$27,info!$A$25:$A$27,data!A140,info!$B$25:$B$27,data!F140)&lt;=0,1,SUMIFS(info!$C$25:$C$27,info!$A$25:$A$27,data!A140,info!$B$25:$B$27,data!F140))*H140</f>
        <v>523636</v>
      </c>
      <c r="N140" s="10">
        <f t="shared" si="113"/>
        <v>497454.19999999995</v>
      </c>
      <c r="O140" s="10">
        <f t="shared" si="114"/>
        <v>57599.96</v>
      </c>
      <c r="P140" s="10">
        <f t="shared" si="115"/>
        <v>109439.92399999998</v>
      </c>
      <c r="Q140" s="10">
        <f t="shared" si="116"/>
        <v>366545.19999999995</v>
      </c>
      <c r="R140" s="10">
        <f t="shared" si="117"/>
        <v>348217.93999999994</v>
      </c>
      <c r="S140" s="10">
        <f t="shared" si="118"/>
        <v>0</v>
      </c>
      <c r="T140" s="10">
        <f t="shared" si="118"/>
        <v>0</v>
      </c>
      <c r="U140" s="10">
        <f t="shared" si="118"/>
        <v>0</v>
      </c>
      <c r="V140" s="10">
        <f t="shared" si="118"/>
        <v>0</v>
      </c>
      <c r="W140" s="10">
        <f t="shared" si="118"/>
        <v>0</v>
      </c>
      <c r="X140" s="10">
        <f t="shared" si="118"/>
        <v>0</v>
      </c>
      <c r="Y140" s="10">
        <f t="shared" si="118"/>
        <v>0</v>
      </c>
      <c r="Z140" s="10">
        <f t="shared" si="118"/>
        <v>391651.03561643837</v>
      </c>
      <c r="AA140" s="10"/>
      <c r="AB140" s="10"/>
      <c r="AC140">
        <f t="shared" si="119"/>
        <v>0</v>
      </c>
      <c r="AD140">
        <f t="shared" si="119"/>
        <v>0</v>
      </c>
      <c r="AE140">
        <f t="shared" si="119"/>
        <v>0</v>
      </c>
      <c r="AF140">
        <f t="shared" si="119"/>
        <v>0</v>
      </c>
      <c r="AG140">
        <f t="shared" si="119"/>
        <v>0</v>
      </c>
      <c r="AH140">
        <f t="shared" si="119"/>
        <v>0</v>
      </c>
      <c r="AI140">
        <f t="shared" si="119"/>
        <v>0</v>
      </c>
      <c r="AJ140">
        <f t="shared" si="119"/>
        <v>0</v>
      </c>
      <c r="AK140">
        <f t="shared" si="119"/>
        <v>0</v>
      </c>
      <c r="AL140">
        <f t="shared" si="119"/>
        <v>0</v>
      </c>
      <c r="AM140">
        <f t="shared" si="119"/>
        <v>0</v>
      </c>
      <c r="AN140">
        <f t="shared" si="119"/>
        <v>0</v>
      </c>
      <c r="AO140">
        <f t="shared" si="119"/>
        <v>0</v>
      </c>
      <c r="AP140">
        <f t="shared" si="119"/>
        <v>0</v>
      </c>
      <c r="AQ140">
        <f t="shared" si="119"/>
        <v>0</v>
      </c>
      <c r="AR140">
        <f t="shared" si="109"/>
        <v>0</v>
      </c>
      <c r="AS140">
        <f t="shared" si="109"/>
        <v>0</v>
      </c>
      <c r="AT140">
        <f t="shared" si="109"/>
        <v>0</v>
      </c>
      <c r="AU140">
        <f t="shared" si="109"/>
        <v>365</v>
      </c>
      <c r="AV140">
        <f t="shared" si="109"/>
        <v>334</v>
      </c>
      <c r="AW140">
        <f t="shared" si="109"/>
        <v>304</v>
      </c>
      <c r="AX140">
        <f t="shared" si="109"/>
        <v>273</v>
      </c>
      <c r="AY140">
        <f t="shared" si="107"/>
        <v>0</v>
      </c>
      <c r="AZ140">
        <f t="shared" si="107"/>
        <v>0</v>
      </c>
      <c r="BA140">
        <f t="shared" si="107"/>
        <v>0</v>
      </c>
      <c r="BB140">
        <f t="shared" si="107"/>
        <v>0</v>
      </c>
      <c r="BC140">
        <f t="shared" si="107"/>
        <v>0</v>
      </c>
      <c r="BD140">
        <f t="shared" si="107"/>
        <v>0</v>
      </c>
      <c r="BE140">
        <f t="shared" si="107"/>
        <v>0</v>
      </c>
      <c r="BF140">
        <f t="shared" si="107"/>
        <v>0</v>
      </c>
      <c r="BG140">
        <f t="shared" si="107"/>
        <v>0</v>
      </c>
      <c r="BH140">
        <f t="shared" si="107"/>
        <v>0</v>
      </c>
      <c r="BI140">
        <f t="shared" si="107"/>
        <v>0</v>
      </c>
      <c r="BJ140">
        <f t="shared" si="108"/>
        <v>0</v>
      </c>
      <c r="BK140">
        <f t="shared" si="108"/>
        <v>0</v>
      </c>
      <c r="BL140">
        <f t="shared" si="108"/>
        <v>0</v>
      </c>
      <c r="BM140">
        <f t="shared" si="108"/>
        <v>0</v>
      </c>
      <c r="BN140">
        <f t="shared" si="108"/>
        <v>0</v>
      </c>
      <c r="BO140">
        <f t="shared" si="108"/>
        <v>0</v>
      </c>
      <c r="BP140">
        <f t="shared" si="108"/>
        <v>0</v>
      </c>
      <c r="BQ140">
        <f t="shared" si="108"/>
        <v>365</v>
      </c>
      <c r="BR140">
        <f t="shared" si="108"/>
        <v>334</v>
      </c>
      <c r="BS140">
        <f t="shared" si="108"/>
        <v>304</v>
      </c>
      <c r="BT140">
        <f t="shared" si="108"/>
        <v>273</v>
      </c>
    </row>
    <row r="141" spans="1:72" ht="12.95" customHeight="1" x14ac:dyDescent="0.2">
      <c r="A141">
        <f t="shared" si="92"/>
        <v>2026</v>
      </c>
      <c r="B141">
        <f t="shared" si="110"/>
        <v>11</v>
      </c>
      <c r="C141">
        <f t="shared" si="111"/>
        <v>4</v>
      </c>
      <c r="D141" s="11">
        <f>prod!A138</f>
        <v>46327</v>
      </c>
      <c r="E141" s="11">
        <f t="shared" si="112"/>
        <v>46691</v>
      </c>
      <c r="F141" s="10" t="str">
        <f>prod!B138</f>
        <v>משאיות רכוש</v>
      </c>
      <c r="G141" s="10" t="str">
        <f>prod!C138</f>
        <v>צמה</v>
      </c>
      <c r="H141" s="10">
        <f>prod!D138</f>
        <v>523636</v>
      </c>
      <c r="I141" s="10">
        <f>SUMIFS(info!C:C,info!$A:$A,data!$A141,info!$B:$B,data!$G141)</f>
        <v>0.11</v>
      </c>
      <c r="J141" s="10">
        <f>SUMIFS(info!D:D,info!$A:$A,data!$A141,info!$B:$B,data!$G141)</f>
        <v>0.95</v>
      </c>
      <c r="K141" s="10">
        <f>SUMIFS(info!E:E,info!$A:$A,data!$A141,info!$B:$B,data!$G141)</f>
        <v>0.22</v>
      </c>
      <c r="L141" s="10">
        <f>SUMIFS(info!F:F,info!$A:$A,data!$A141,info!$B:$B,data!$G141)</f>
        <v>0.7</v>
      </c>
      <c r="M141" s="10">
        <f>IF(SUMIFS(info!$C$25:$C$27,info!$A$25:$A$27,data!A141,info!$B$25:$B$27,data!F141)&lt;=0,1,SUMIFS(info!$C$25:$C$27,info!$A$25:$A$27,data!A141,info!$B$25:$B$27,data!F141))*H141</f>
        <v>523636</v>
      </c>
      <c r="N141" s="10">
        <f t="shared" si="113"/>
        <v>497454.19999999995</v>
      </c>
      <c r="O141" s="10">
        <f t="shared" si="114"/>
        <v>57599.96</v>
      </c>
      <c r="P141" s="10">
        <f t="shared" si="115"/>
        <v>109439.92399999998</v>
      </c>
      <c r="Q141" s="10">
        <f t="shared" si="116"/>
        <v>366545.19999999995</v>
      </c>
      <c r="R141" s="10">
        <f t="shared" si="117"/>
        <v>348217.93999999994</v>
      </c>
      <c r="S141" s="10">
        <f t="shared" si="118"/>
        <v>0</v>
      </c>
      <c r="T141" s="10">
        <f t="shared" si="118"/>
        <v>0</v>
      </c>
      <c r="U141" s="10">
        <f t="shared" si="118"/>
        <v>0</v>
      </c>
      <c r="V141" s="10">
        <f t="shared" si="118"/>
        <v>0</v>
      </c>
      <c r="W141" s="10">
        <f t="shared" si="118"/>
        <v>0</v>
      </c>
      <c r="X141" s="10">
        <f t="shared" si="118"/>
        <v>0</v>
      </c>
      <c r="Y141" s="10">
        <f t="shared" si="118"/>
        <v>0</v>
      </c>
      <c r="Z141" s="10">
        <f t="shared" si="118"/>
        <v>436124.2301369863</v>
      </c>
      <c r="AA141" s="10"/>
      <c r="AB141" s="10"/>
      <c r="AC141">
        <f t="shared" si="119"/>
        <v>0</v>
      </c>
      <c r="AD141">
        <f t="shared" si="119"/>
        <v>0</v>
      </c>
      <c r="AE141">
        <f t="shared" si="119"/>
        <v>0</v>
      </c>
      <c r="AF141">
        <f t="shared" si="119"/>
        <v>0</v>
      </c>
      <c r="AG141">
        <f t="shared" si="119"/>
        <v>0</v>
      </c>
      <c r="AH141">
        <f t="shared" si="119"/>
        <v>0</v>
      </c>
      <c r="AI141">
        <f t="shared" si="119"/>
        <v>0</v>
      </c>
      <c r="AJ141">
        <f t="shared" si="119"/>
        <v>0</v>
      </c>
      <c r="AK141">
        <f t="shared" si="119"/>
        <v>0</v>
      </c>
      <c r="AL141">
        <f t="shared" si="119"/>
        <v>0</v>
      </c>
      <c r="AM141">
        <f t="shared" si="119"/>
        <v>0</v>
      </c>
      <c r="AN141">
        <f t="shared" si="119"/>
        <v>0</v>
      </c>
      <c r="AO141">
        <f t="shared" si="119"/>
        <v>0</v>
      </c>
      <c r="AP141">
        <f t="shared" si="119"/>
        <v>0</v>
      </c>
      <c r="AQ141">
        <f t="shared" si="119"/>
        <v>0</v>
      </c>
      <c r="AR141">
        <f t="shared" si="109"/>
        <v>0</v>
      </c>
      <c r="AS141">
        <f t="shared" si="109"/>
        <v>0</v>
      </c>
      <c r="AT141">
        <f t="shared" si="109"/>
        <v>0</v>
      </c>
      <c r="AU141">
        <f t="shared" si="109"/>
        <v>0</v>
      </c>
      <c r="AV141">
        <f t="shared" si="109"/>
        <v>365</v>
      </c>
      <c r="AW141">
        <f t="shared" si="109"/>
        <v>335</v>
      </c>
      <c r="AX141">
        <f t="shared" si="109"/>
        <v>304</v>
      </c>
      <c r="AY141">
        <f t="shared" si="107"/>
        <v>0</v>
      </c>
      <c r="AZ141">
        <f t="shared" si="107"/>
        <v>0</v>
      </c>
      <c r="BA141">
        <f t="shared" si="107"/>
        <v>0</v>
      </c>
      <c r="BB141">
        <f t="shared" si="107"/>
        <v>0</v>
      </c>
      <c r="BC141">
        <f t="shared" si="107"/>
        <v>0</v>
      </c>
      <c r="BD141">
        <f t="shared" si="107"/>
        <v>0</v>
      </c>
      <c r="BE141">
        <f t="shared" si="107"/>
        <v>0</v>
      </c>
      <c r="BF141">
        <f t="shared" si="107"/>
        <v>0</v>
      </c>
      <c r="BG141">
        <f t="shared" si="107"/>
        <v>0</v>
      </c>
      <c r="BH141">
        <f t="shared" si="107"/>
        <v>0</v>
      </c>
      <c r="BI141">
        <f t="shared" si="107"/>
        <v>0</v>
      </c>
      <c r="BJ141">
        <f t="shared" si="108"/>
        <v>0</v>
      </c>
      <c r="BK141">
        <f t="shared" si="108"/>
        <v>0</v>
      </c>
      <c r="BL141">
        <f t="shared" si="108"/>
        <v>0</v>
      </c>
      <c r="BM141">
        <f t="shared" si="108"/>
        <v>0</v>
      </c>
      <c r="BN141">
        <f t="shared" si="108"/>
        <v>0</v>
      </c>
      <c r="BO141">
        <f t="shared" si="108"/>
        <v>0</v>
      </c>
      <c r="BP141">
        <f t="shared" si="108"/>
        <v>0</v>
      </c>
      <c r="BQ141">
        <f t="shared" si="108"/>
        <v>0</v>
      </c>
      <c r="BR141">
        <f t="shared" si="108"/>
        <v>365</v>
      </c>
      <c r="BS141">
        <f t="shared" si="108"/>
        <v>335</v>
      </c>
      <c r="BT141">
        <f t="shared" si="108"/>
        <v>304</v>
      </c>
    </row>
    <row r="142" spans="1:72" ht="12.95" customHeight="1" x14ac:dyDescent="0.2">
      <c r="A142">
        <f t="shared" si="92"/>
        <v>2026</v>
      </c>
      <c r="B142">
        <f t="shared" si="110"/>
        <v>12</v>
      </c>
      <c r="C142">
        <f t="shared" si="111"/>
        <v>4</v>
      </c>
      <c r="D142" s="11">
        <f>prod!A139</f>
        <v>46357</v>
      </c>
      <c r="E142" s="11">
        <f t="shared" si="112"/>
        <v>46721</v>
      </c>
      <c r="F142" s="10" t="str">
        <f>prod!B139</f>
        <v>משאיות רכוש</v>
      </c>
      <c r="G142" s="10" t="str">
        <f>prod!C139</f>
        <v>צמה</v>
      </c>
      <c r="H142" s="10">
        <f>prod!D139</f>
        <v>523636</v>
      </c>
      <c r="I142" s="10">
        <f>SUMIFS(info!C:C,info!$A:$A,data!$A142,info!$B:$B,data!$G142)</f>
        <v>0.11</v>
      </c>
      <c r="J142" s="10">
        <f>SUMIFS(info!D:D,info!$A:$A,data!$A142,info!$B:$B,data!$G142)</f>
        <v>0.95</v>
      </c>
      <c r="K142" s="10">
        <f>SUMIFS(info!E:E,info!$A:$A,data!$A142,info!$B:$B,data!$G142)</f>
        <v>0.22</v>
      </c>
      <c r="L142" s="10">
        <f>SUMIFS(info!F:F,info!$A:$A,data!$A142,info!$B:$B,data!$G142)</f>
        <v>0.7</v>
      </c>
      <c r="M142" s="10">
        <f>IF(SUMIFS(info!$C$25:$C$27,info!$A$25:$A$27,data!A142,info!$B$25:$B$27,data!F142)&lt;=0,1,SUMIFS(info!$C$25:$C$27,info!$A$25:$A$27,data!A142,info!$B$25:$B$27,data!F142))*H142</f>
        <v>523636</v>
      </c>
      <c r="N142" s="10">
        <f t="shared" si="113"/>
        <v>497454.19999999995</v>
      </c>
      <c r="O142" s="10">
        <f t="shared" si="114"/>
        <v>57599.96</v>
      </c>
      <c r="P142" s="10">
        <f t="shared" si="115"/>
        <v>109439.92399999998</v>
      </c>
      <c r="Q142" s="10">
        <f t="shared" si="116"/>
        <v>366545.19999999995</v>
      </c>
      <c r="R142" s="10">
        <f t="shared" si="117"/>
        <v>348217.93999999994</v>
      </c>
      <c r="S142" s="10">
        <f t="shared" si="118"/>
        <v>0</v>
      </c>
      <c r="T142" s="10">
        <f t="shared" si="118"/>
        <v>0</v>
      </c>
      <c r="U142" s="10">
        <f t="shared" si="118"/>
        <v>0</v>
      </c>
      <c r="V142" s="10">
        <f t="shared" si="118"/>
        <v>0</v>
      </c>
      <c r="W142" s="10">
        <f t="shared" si="118"/>
        <v>0</v>
      </c>
      <c r="X142" s="10">
        <f t="shared" si="118"/>
        <v>0</v>
      </c>
      <c r="Y142" s="10">
        <f t="shared" si="118"/>
        <v>0</v>
      </c>
      <c r="Z142" s="10">
        <f t="shared" si="118"/>
        <v>479162.80547945207</v>
      </c>
      <c r="AA142" s="10"/>
      <c r="AB142" s="10"/>
      <c r="AC142">
        <f t="shared" si="119"/>
        <v>0</v>
      </c>
      <c r="AD142">
        <f t="shared" si="119"/>
        <v>0</v>
      </c>
      <c r="AE142">
        <f t="shared" si="119"/>
        <v>0</v>
      </c>
      <c r="AF142">
        <f t="shared" si="119"/>
        <v>0</v>
      </c>
      <c r="AG142">
        <f t="shared" si="119"/>
        <v>0</v>
      </c>
      <c r="AH142">
        <f t="shared" si="119"/>
        <v>0</v>
      </c>
      <c r="AI142">
        <f t="shared" si="119"/>
        <v>0</v>
      </c>
      <c r="AJ142">
        <f t="shared" si="119"/>
        <v>0</v>
      </c>
      <c r="AK142">
        <f t="shared" si="119"/>
        <v>0</v>
      </c>
      <c r="AL142">
        <f t="shared" si="119"/>
        <v>0</v>
      </c>
      <c r="AM142">
        <f t="shared" si="119"/>
        <v>0</v>
      </c>
      <c r="AN142">
        <f t="shared" si="119"/>
        <v>0</v>
      </c>
      <c r="AO142">
        <f t="shared" si="119"/>
        <v>0</v>
      </c>
      <c r="AP142">
        <f t="shared" si="119"/>
        <v>0</v>
      </c>
      <c r="AQ142">
        <f t="shared" si="119"/>
        <v>0</v>
      </c>
      <c r="AR142">
        <f t="shared" si="109"/>
        <v>0</v>
      </c>
      <c r="AS142">
        <f t="shared" si="109"/>
        <v>0</v>
      </c>
      <c r="AT142">
        <f t="shared" si="109"/>
        <v>0</v>
      </c>
      <c r="AU142">
        <f t="shared" si="109"/>
        <v>0</v>
      </c>
      <c r="AV142">
        <f t="shared" si="109"/>
        <v>0</v>
      </c>
      <c r="AW142">
        <f t="shared" si="109"/>
        <v>365</v>
      </c>
      <c r="AX142">
        <f t="shared" si="109"/>
        <v>334</v>
      </c>
      <c r="AY142">
        <f t="shared" si="107"/>
        <v>0</v>
      </c>
      <c r="AZ142">
        <f t="shared" si="107"/>
        <v>0</v>
      </c>
      <c r="BA142">
        <f t="shared" si="107"/>
        <v>0</v>
      </c>
      <c r="BB142">
        <f t="shared" si="107"/>
        <v>0</v>
      </c>
      <c r="BC142">
        <f t="shared" si="107"/>
        <v>0</v>
      </c>
      <c r="BD142">
        <f t="shared" si="107"/>
        <v>0</v>
      </c>
      <c r="BE142">
        <f t="shared" si="107"/>
        <v>0</v>
      </c>
      <c r="BF142">
        <f t="shared" si="107"/>
        <v>0</v>
      </c>
      <c r="BG142">
        <f t="shared" si="107"/>
        <v>0</v>
      </c>
      <c r="BH142">
        <f t="shared" si="107"/>
        <v>0</v>
      </c>
      <c r="BI142">
        <f t="shared" si="107"/>
        <v>0</v>
      </c>
      <c r="BJ142">
        <f t="shared" si="108"/>
        <v>0</v>
      </c>
      <c r="BK142">
        <f t="shared" si="108"/>
        <v>0</v>
      </c>
      <c r="BL142">
        <f t="shared" si="108"/>
        <v>0</v>
      </c>
      <c r="BM142">
        <f t="shared" si="108"/>
        <v>0</v>
      </c>
      <c r="BN142">
        <f t="shared" si="108"/>
        <v>0</v>
      </c>
      <c r="BO142">
        <f t="shared" si="108"/>
        <v>0</v>
      </c>
      <c r="BP142">
        <f t="shared" si="108"/>
        <v>0</v>
      </c>
      <c r="BQ142">
        <f t="shared" si="108"/>
        <v>0</v>
      </c>
      <c r="BR142">
        <f t="shared" si="108"/>
        <v>0</v>
      </c>
      <c r="BS142">
        <f t="shared" si="108"/>
        <v>365</v>
      </c>
      <c r="BT142">
        <f t="shared" si="108"/>
        <v>334</v>
      </c>
    </row>
    <row r="143" spans="1:72" ht="12.95" customHeight="1" x14ac:dyDescent="0.2">
      <c r="A143">
        <f t="shared" si="92"/>
        <v>2025</v>
      </c>
      <c r="B143">
        <f t="shared" si="110"/>
        <v>4</v>
      </c>
      <c r="C143">
        <f t="shared" si="111"/>
        <v>2</v>
      </c>
      <c r="D143" s="11">
        <f>prod!A140</f>
        <v>45748</v>
      </c>
      <c r="E143" s="11">
        <f t="shared" si="112"/>
        <v>46112</v>
      </c>
      <c r="F143" s="10" t="str">
        <f>prod!B140</f>
        <v>דירות</v>
      </c>
      <c r="G143" s="10" t="str">
        <f>prod!C140</f>
        <v xml:space="preserve">דירות </v>
      </c>
      <c r="H143" s="10">
        <f>prod!D140</f>
        <v>146943</v>
      </c>
      <c r="I143" s="10">
        <f>SUMIFS(info!C:C,info!$A:$A,data!$A143,info!$B:$B,data!$G143)</f>
        <v>0.21</v>
      </c>
      <c r="J143" s="10">
        <f>SUMIFS(info!D:D,info!$A:$A,data!$A143,info!$B:$B,data!$G143)</f>
        <v>0.85</v>
      </c>
      <c r="K143" s="10">
        <f>SUMIFS(info!E:E,info!$A:$A,data!$A143,info!$B:$B,data!$G143)</f>
        <v>0.24340000000000001</v>
      </c>
      <c r="L143" s="10">
        <f>SUMIFS(info!F:F,info!$A:$A,data!$A143,info!$B:$B,data!$G143)</f>
        <v>0.8</v>
      </c>
      <c r="M143" s="10">
        <f>IF(SUMIFS(info!$C$25:$C$27,info!$A$25:$A$27,data!A143,info!$B$25:$B$27,data!F143)&lt;=0,1,SUMIFS(info!$C$25:$C$27,info!$A$25:$A$27,data!A143,info!$B$25:$B$27,data!F143))*H143</f>
        <v>146943</v>
      </c>
      <c r="N143" s="10">
        <f t="shared" si="113"/>
        <v>124901.55</v>
      </c>
      <c r="O143" s="10">
        <f t="shared" si="114"/>
        <v>30858.03</v>
      </c>
      <c r="P143" s="10">
        <f t="shared" si="115"/>
        <v>30401.037270000001</v>
      </c>
      <c r="Q143" s="10">
        <f t="shared" si="116"/>
        <v>117554.40000000001</v>
      </c>
      <c r="R143" s="10">
        <f t="shared" si="117"/>
        <v>99921.24</v>
      </c>
      <c r="S143" s="10">
        <f t="shared" si="118"/>
        <v>0</v>
      </c>
      <c r="T143" s="10">
        <f t="shared" si="118"/>
        <v>110307.89589041096</v>
      </c>
      <c r="U143" s="10">
        <f t="shared" si="118"/>
        <v>73270.208219178079</v>
      </c>
      <c r="V143" s="10">
        <f t="shared" si="118"/>
        <v>36232.520547945205</v>
      </c>
      <c r="W143" s="10">
        <f t="shared" si="118"/>
        <v>0</v>
      </c>
      <c r="X143" s="10">
        <f t="shared" si="118"/>
        <v>0</v>
      </c>
      <c r="Y143" s="10">
        <f t="shared" si="118"/>
        <v>0</v>
      </c>
      <c r="Z143" s="10">
        <f t="shared" si="118"/>
        <v>0</v>
      </c>
      <c r="AA143" s="10"/>
      <c r="AB143" s="10"/>
      <c r="AC143">
        <f t="shared" si="119"/>
        <v>365</v>
      </c>
      <c r="AD143">
        <f t="shared" si="119"/>
        <v>335</v>
      </c>
      <c r="AE143">
        <f t="shared" si="119"/>
        <v>304</v>
      </c>
      <c r="AF143">
        <f t="shared" si="119"/>
        <v>274</v>
      </c>
      <c r="AG143">
        <f t="shared" si="119"/>
        <v>243</v>
      </c>
      <c r="AH143">
        <f t="shared" si="119"/>
        <v>212</v>
      </c>
      <c r="AI143">
        <f t="shared" si="119"/>
        <v>182</v>
      </c>
      <c r="AJ143">
        <f t="shared" si="119"/>
        <v>151</v>
      </c>
      <c r="AK143">
        <f t="shared" si="119"/>
        <v>121</v>
      </c>
      <c r="AL143">
        <f t="shared" si="119"/>
        <v>90</v>
      </c>
      <c r="AM143">
        <f t="shared" si="119"/>
        <v>59</v>
      </c>
      <c r="AN143">
        <f t="shared" si="119"/>
        <v>31</v>
      </c>
      <c r="AO143">
        <f t="shared" si="119"/>
        <v>0</v>
      </c>
      <c r="AP143">
        <f t="shared" si="119"/>
        <v>-30</v>
      </c>
      <c r="AQ143">
        <f t="shared" si="119"/>
        <v>-61</v>
      </c>
      <c r="AR143">
        <f t="shared" si="109"/>
        <v>-91</v>
      </c>
      <c r="AS143">
        <f t="shared" si="109"/>
        <v>-122</v>
      </c>
      <c r="AT143">
        <f t="shared" si="109"/>
        <v>-153</v>
      </c>
      <c r="AU143">
        <f t="shared" si="109"/>
        <v>-183</v>
      </c>
      <c r="AV143">
        <f t="shared" si="109"/>
        <v>-214</v>
      </c>
      <c r="AW143">
        <f t="shared" si="109"/>
        <v>-244</v>
      </c>
      <c r="AX143">
        <f t="shared" si="109"/>
        <v>-275</v>
      </c>
      <c r="AY143">
        <f t="shared" si="107"/>
        <v>365</v>
      </c>
      <c r="AZ143">
        <f t="shared" si="107"/>
        <v>335</v>
      </c>
      <c r="BA143">
        <f t="shared" si="107"/>
        <v>304</v>
      </c>
      <c r="BB143">
        <f t="shared" si="107"/>
        <v>274</v>
      </c>
      <c r="BC143">
        <f t="shared" si="107"/>
        <v>243</v>
      </c>
      <c r="BD143">
        <f t="shared" si="107"/>
        <v>212</v>
      </c>
      <c r="BE143">
        <f t="shared" si="107"/>
        <v>182</v>
      </c>
      <c r="BF143">
        <f t="shared" si="107"/>
        <v>151</v>
      </c>
      <c r="BG143">
        <f t="shared" si="107"/>
        <v>120</v>
      </c>
      <c r="BH143">
        <f t="shared" si="107"/>
        <v>90</v>
      </c>
      <c r="BI143">
        <f t="shared" si="107"/>
        <v>59</v>
      </c>
      <c r="BJ143">
        <f t="shared" si="108"/>
        <v>31</v>
      </c>
      <c r="BK143">
        <f t="shared" si="108"/>
        <v>0</v>
      </c>
      <c r="BL143">
        <f t="shared" si="108"/>
        <v>-30</v>
      </c>
      <c r="BM143">
        <f t="shared" si="108"/>
        <v>-61</v>
      </c>
      <c r="BN143">
        <f t="shared" si="108"/>
        <v>-91</v>
      </c>
      <c r="BO143">
        <f t="shared" si="108"/>
        <v>-122</v>
      </c>
      <c r="BP143">
        <f t="shared" si="108"/>
        <v>-153</v>
      </c>
      <c r="BQ143">
        <f t="shared" si="108"/>
        <v>-183</v>
      </c>
      <c r="BR143">
        <f t="shared" si="108"/>
        <v>-214</v>
      </c>
      <c r="BS143">
        <f t="shared" si="108"/>
        <v>-244</v>
      </c>
      <c r="BT143">
        <f t="shared" si="108"/>
        <v>-275</v>
      </c>
    </row>
    <row r="144" spans="1:72" ht="12.95" customHeight="1" x14ac:dyDescent="0.2">
      <c r="A144">
        <f t="shared" si="92"/>
        <v>2025</v>
      </c>
      <c r="B144">
        <f t="shared" si="110"/>
        <v>5</v>
      </c>
      <c r="C144">
        <f t="shared" si="111"/>
        <v>2</v>
      </c>
      <c r="D144" s="11">
        <f>prod!A141</f>
        <v>45778</v>
      </c>
      <c r="E144" s="11">
        <f t="shared" si="112"/>
        <v>46142</v>
      </c>
      <c r="F144" s="10" t="str">
        <f>prod!B141</f>
        <v>דירות</v>
      </c>
      <c r="G144" s="10" t="str">
        <f>prod!C141</f>
        <v xml:space="preserve">דירות </v>
      </c>
      <c r="H144" s="10">
        <f>prod!D141</f>
        <v>154162</v>
      </c>
      <c r="I144" s="10">
        <f>SUMIFS(info!C:C,info!$A:$A,data!$A144,info!$B:$B,data!$G144)</f>
        <v>0.21</v>
      </c>
      <c r="J144" s="10">
        <f>SUMIFS(info!D:D,info!$A:$A,data!$A144,info!$B:$B,data!$G144)</f>
        <v>0.85</v>
      </c>
      <c r="K144" s="10">
        <f>SUMIFS(info!E:E,info!$A:$A,data!$A144,info!$B:$B,data!$G144)</f>
        <v>0.24340000000000001</v>
      </c>
      <c r="L144" s="10">
        <f>SUMIFS(info!F:F,info!$A:$A,data!$A144,info!$B:$B,data!$G144)</f>
        <v>0.8</v>
      </c>
      <c r="M144" s="10">
        <f>IF(SUMIFS(info!$C$25:$C$27,info!$A$25:$A$27,data!A144,info!$B$25:$B$27,data!F144)&lt;=0,1,SUMIFS(info!$C$25:$C$27,info!$A$25:$A$27,data!A144,info!$B$25:$B$27,data!F144))*H144</f>
        <v>154162</v>
      </c>
      <c r="N144" s="10">
        <f t="shared" si="113"/>
        <v>131037.7</v>
      </c>
      <c r="O144" s="10">
        <f t="shared" si="114"/>
        <v>32374.02</v>
      </c>
      <c r="P144" s="10">
        <f t="shared" si="115"/>
        <v>31894.57618</v>
      </c>
      <c r="Q144" s="10">
        <f t="shared" si="116"/>
        <v>123329.60000000001</v>
      </c>
      <c r="R144" s="10">
        <f t="shared" si="117"/>
        <v>104830.16</v>
      </c>
      <c r="S144" s="10">
        <f t="shared" si="118"/>
        <v>0</v>
      </c>
      <c r="T144" s="10">
        <f t="shared" si="118"/>
        <v>128397.9397260274</v>
      </c>
      <c r="U144" s="10">
        <f t="shared" si="118"/>
        <v>89540.66849315069</v>
      </c>
      <c r="V144" s="10">
        <f t="shared" si="118"/>
        <v>50683.397260273974</v>
      </c>
      <c r="W144" s="10">
        <f t="shared" si="118"/>
        <v>12670.849315068494</v>
      </c>
      <c r="X144" s="10">
        <f t="shared" si="118"/>
        <v>0</v>
      </c>
      <c r="Y144" s="10">
        <f t="shared" si="118"/>
        <v>0</v>
      </c>
      <c r="Z144" s="10">
        <f t="shared" si="118"/>
        <v>0</v>
      </c>
      <c r="AA144" s="10"/>
      <c r="AB144" s="10"/>
      <c r="AC144">
        <f t="shared" si="119"/>
        <v>0</v>
      </c>
      <c r="AD144">
        <f t="shared" si="119"/>
        <v>365</v>
      </c>
      <c r="AE144">
        <f t="shared" si="119"/>
        <v>334</v>
      </c>
      <c r="AF144">
        <f t="shared" si="119"/>
        <v>304</v>
      </c>
      <c r="AG144">
        <f t="shared" si="119"/>
        <v>273</v>
      </c>
      <c r="AH144">
        <f t="shared" si="119"/>
        <v>242</v>
      </c>
      <c r="AI144">
        <f t="shared" si="119"/>
        <v>212</v>
      </c>
      <c r="AJ144">
        <f t="shared" si="119"/>
        <v>181</v>
      </c>
      <c r="AK144">
        <f t="shared" si="119"/>
        <v>151</v>
      </c>
      <c r="AL144">
        <f t="shared" si="119"/>
        <v>120</v>
      </c>
      <c r="AM144">
        <f t="shared" si="119"/>
        <v>89</v>
      </c>
      <c r="AN144">
        <f t="shared" si="119"/>
        <v>61</v>
      </c>
      <c r="AO144">
        <f t="shared" si="119"/>
        <v>30</v>
      </c>
      <c r="AP144">
        <f t="shared" si="119"/>
        <v>0</v>
      </c>
      <c r="AQ144">
        <f t="shared" si="119"/>
        <v>-31</v>
      </c>
      <c r="AR144">
        <f t="shared" si="109"/>
        <v>-61</v>
      </c>
      <c r="AS144">
        <f t="shared" si="109"/>
        <v>-92</v>
      </c>
      <c r="AT144">
        <f t="shared" si="109"/>
        <v>-123</v>
      </c>
      <c r="AU144">
        <f t="shared" si="109"/>
        <v>-153</v>
      </c>
      <c r="AV144">
        <f t="shared" si="109"/>
        <v>-184</v>
      </c>
      <c r="AW144">
        <f t="shared" si="109"/>
        <v>-214</v>
      </c>
      <c r="AX144">
        <f t="shared" si="109"/>
        <v>-245</v>
      </c>
      <c r="AY144">
        <f t="shared" si="107"/>
        <v>0</v>
      </c>
      <c r="AZ144">
        <f t="shared" si="107"/>
        <v>365</v>
      </c>
      <c r="BA144">
        <f t="shared" si="107"/>
        <v>334</v>
      </c>
      <c r="BB144">
        <f t="shared" si="107"/>
        <v>304</v>
      </c>
      <c r="BC144">
        <f t="shared" si="107"/>
        <v>273</v>
      </c>
      <c r="BD144">
        <f t="shared" si="107"/>
        <v>242</v>
      </c>
      <c r="BE144">
        <f t="shared" si="107"/>
        <v>212</v>
      </c>
      <c r="BF144">
        <f t="shared" si="107"/>
        <v>181</v>
      </c>
      <c r="BG144">
        <f t="shared" si="107"/>
        <v>150</v>
      </c>
      <c r="BH144">
        <f t="shared" si="107"/>
        <v>120</v>
      </c>
      <c r="BI144">
        <f t="shared" si="107"/>
        <v>89</v>
      </c>
      <c r="BJ144">
        <f t="shared" si="108"/>
        <v>61</v>
      </c>
      <c r="BK144">
        <f t="shared" si="108"/>
        <v>30</v>
      </c>
      <c r="BL144">
        <f t="shared" si="108"/>
        <v>0</v>
      </c>
      <c r="BM144">
        <f t="shared" si="108"/>
        <v>-31</v>
      </c>
      <c r="BN144">
        <f t="shared" si="108"/>
        <v>-61</v>
      </c>
      <c r="BO144">
        <f t="shared" si="108"/>
        <v>-92</v>
      </c>
      <c r="BP144">
        <f t="shared" si="108"/>
        <v>-123</v>
      </c>
      <c r="BQ144">
        <f t="shared" si="108"/>
        <v>-153</v>
      </c>
      <c r="BR144">
        <f t="shared" si="108"/>
        <v>-184</v>
      </c>
      <c r="BS144">
        <f t="shared" si="108"/>
        <v>-214</v>
      </c>
      <c r="BT144">
        <f t="shared" si="108"/>
        <v>-245</v>
      </c>
    </row>
    <row r="145" spans="1:72" ht="12.95" customHeight="1" x14ac:dyDescent="0.2">
      <c r="A145">
        <f t="shared" si="92"/>
        <v>2025</v>
      </c>
      <c r="B145">
        <f t="shared" si="110"/>
        <v>6</v>
      </c>
      <c r="C145">
        <f t="shared" si="111"/>
        <v>2</v>
      </c>
      <c r="D145" s="11">
        <f>prod!A142</f>
        <v>45809</v>
      </c>
      <c r="E145" s="11">
        <f t="shared" si="112"/>
        <v>46173</v>
      </c>
      <c r="F145" s="10" t="str">
        <f>prod!B142</f>
        <v>דירות</v>
      </c>
      <c r="G145" s="10" t="str">
        <f>prod!C142</f>
        <v xml:space="preserve">דירות </v>
      </c>
      <c r="H145" s="10">
        <f>prod!D142</f>
        <v>149532</v>
      </c>
      <c r="I145" s="10">
        <f>SUMIFS(info!C:C,info!$A:$A,data!$A145,info!$B:$B,data!$G145)</f>
        <v>0.21</v>
      </c>
      <c r="J145" s="10">
        <f>SUMIFS(info!D:D,info!$A:$A,data!$A145,info!$B:$B,data!$G145)</f>
        <v>0.85</v>
      </c>
      <c r="K145" s="10">
        <f>SUMIFS(info!E:E,info!$A:$A,data!$A145,info!$B:$B,data!$G145)</f>
        <v>0.24340000000000001</v>
      </c>
      <c r="L145" s="10">
        <f>SUMIFS(info!F:F,info!$A:$A,data!$A145,info!$B:$B,data!$G145)</f>
        <v>0.8</v>
      </c>
      <c r="M145" s="10">
        <f>IF(SUMIFS(info!$C$25:$C$27,info!$A$25:$A$27,data!A145,info!$B$25:$B$27,data!F145)&lt;=0,1,SUMIFS(info!$C$25:$C$27,info!$A$25:$A$27,data!A145,info!$B$25:$B$27,data!F145))*H145</f>
        <v>149532</v>
      </c>
      <c r="N145" s="10">
        <f t="shared" si="113"/>
        <v>127102.2</v>
      </c>
      <c r="O145" s="10">
        <f t="shared" si="114"/>
        <v>31401.719999999998</v>
      </c>
      <c r="P145" s="10">
        <f t="shared" si="115"/>
        <v>30936.675480000002</v>
      </c>
      <c r="Q145" s="10">
        <f t="shared" si="116"/>
        <v>119625.60000000001</v>
      </c>
      <c r="R145" s="10">
        <f t="shared" si="117"/>
        <v>101681.76000000001</v>
      </c>
      <c r="S145" s="10">
        <f t="shared" si="118"/>
        <v>0</v>
      </c>
      <c r="T145" s="10">
        <f t="shared" si="118"/>
        <v>137241.69863013699</v>
      </c>
      <c r="U145" s="10">
        <f t="shared" si="118"/>
        <v>99551.441095890405</v>
      </c>
      <c r="V145" s="10">
        <f t="shared" si="118"/>
        <v>61861.183561643833</v>
      </c>
      <c r="W145" s="10">
        <f t="shared" si="118"/>
        <v>24990.279452054794</v>
      </c>
      <c r="X145" s="10">
        <f t="shared" si="118"/>
        <v>0</v>
      </c>
      <c r="Y145" s="10">
        <f t="shared" si="118"/>
        <v>0</v>
      </c>
      <c r="Z145" s="10">
        <f t="shared" si="118"/>
        <v>0</v>
      </c>
      <c r="AA145" s="10"/>
      <c r="AB145" s="10"/>
      <c r="AC145">
        <f t="shared" si="119"/>
        <v>0</v>
      </c>
      <c r="AD145">
        <f t="shared" si="119"/>
        <v>0</v>
      </c>
      <c r="AE145">
        <f t="shared" si="119"/>
        <v>365</v>
      </c>
      <c r="AF145">
        <f t="shared" si="119"/>
        <v>335</v>
      </c>
      <c r="AG145">
        <f t="shared" si="119"/>
        <v>304</v>
      </c>
      <c r="AH145">
        <f t="shared" si="119"/>
        <v>273</v>
      </c>
      <c r="AI145">
        <f t="shared" si="119"/>
        <v>243</v>
      </c>
      <c r="AJ145">
        <f t="shared" si="119"/>
        <v>212</v>
      </c>
      <c r="AK145">
        <f t="shared" si="119"/>
        <v>182</v>
      </c>
      <c r="AL145">
        <f t="shared" si="119"/>
        <v>151</v>
      </c>
      <c r="AM145">
        <f t="shared" si="119"/>
        <v>120</v>
      </c>
      <c r="AN145">
        <f t="shared" si="119"/>
        <v>92</v>
      </c>
      <c r="AO145">
        <f t="shared" si="119"/>
        <v>61</v>
      </c>
      <c r="AP145">
        <f t="shared" si="119"/>
        <v>31</v>
      </c>
      <c r="AQ145">
        <f t="shared" si="119"/>
        <v>0</v>
      </c>
      <c r="AR145">
        <f t="shared" si="109"/>
        <v>-30</v>
      </c>
      <c r="AS145">
        <f t="shared" si="109"/>
        <v>-61</v>
      </c>
      <c r="AT145">
        <f t="shared" si="109"/>
        <v>-92</v>
      </c>
      <c r="AU145">
        <f t="shared" si="109"/>
        <v>-122</v>
      </c>
      <c r="AV145">
        <f t="shared" si="109"/>
        <v>-153</v>
      </c>
      <c r="AW145">
        <f t="shared" si="109"/>
        <v>-183</v>
      </c>
      <c r="AX145">
        <f t="shared" si="109"/>
        <v>-214</v>
      </c>
      <c r="AY145">
        <f t="shared" si="107"/>
        <v>0</v>
      </c>
      <c r="AZ145">
        <f t="shared" si="107"/>
        <v>0</v>
      </c>
      <c r="BA145">
        <f t="shared" si="107"/>
        <v>365</v>
      </c>
      <c r="BB145">
        <f t="shared" si="107"/>
        <v>335</v>
      </c>
      <c r="BC145">
        <f t="shared" si="107"/>
        <v>304</v>
      </c>
      <c r="BD145">
        <f t="shared" si="107"/>
        <v>273</v>
      </c>
      <c r="BE145">
        <f t="shared" si="107"/>
        <v>243</v>
      </c>
      <c r="BF145">
        <f t="shared" si="107"/>
        <v>212</v>
      </c>
      <c r="BG145">
        <f t="shared" si="107"/>
        <v>181</v>
      </c>
      <c r="BH145">
        <f t="shared" si="107"/>
        <v>151</v>
      </c>
      <c r="BI145">
        <f t="shared" si="107"/>
        <v>120</v>
      </c>
      <c r="BJ145">
        <f t="shared" si="108"/>
        <v>92</v>
      </c>
      <c r="BK145">
        <f t="shared" si="108"/>
        <v>61</v>
      </c>
      <c r="BL145">
        <f t="shared" si="108"/>
        <v>31</v>
      </c>
      <c r="BM145">
        <f t="shared" si="108"/>
        <v>0</v>
      </c>
      <c r="BN145">
        <f t="shared" si="108"/>
        <v>-30</v>
      </c>
      <c r="BO145">
        <f t="shared" si="108"/>
        <v>-61</v>
      </c>
      <c r="BP145">
        <f t="shared" si="108"/>
        <v>-92</v>
      </c>
      <c r="BQ145">
        <f t="shared" si="108"/>
        <v>-122</v>
      </c>
      <c r="BR145">
        <f t="shared" si="108"/>
        <v>-153</v>
      </c>
      <c r="BS145">
        <f t="shared" si="108"/>
        <v>-183</v>
      </c>
      <c r="BT145">
        <f t="shared" si="108"/>
        <v>-214</v>
      </c>
    </row>
    <row r="146" spans="1:72" ht="12.95" customHeight="1" x14ac:dyDescent="0.2">
      <c r="A146">
        <f t="shared" si="92"/>
        <v>2025</v>
      </c>
      <c r="B146">
        <f t="shared" si="110"/>
        <v>7</v>
      </c>
      <c r="C146">
        <f t="shared" si="111"/>
        <v>3</v>
      </c>
      <c r="D146" s="11">
        <f>prod!A143</f>
        <v>45839</v>
      </c>
      <c r="E146" s="11">
        <f t="shared" si="112"/>
        <v>46203</v>
      </c>
      <c r="F146" s="10" t="str">
        <f>prod!B143</f>
        <v>דירות</v>
      </c>
      <c r="G146" s="10" t="str">
        <f>prod!C143</f>
        <v xml:space="preserve">דירות </v>
      </c>
      <c r="H146" s="10">
        <f>prod!D143</f>
        <v>299876</v>
      </c>
      <c r="I146" s="10">
        <f>SUMIFS(info!C:C,info!$A:$A,data!$A146,info!$B:$B,data!$G146)</f>
        <v>0.21</v>
      </c>
      <c r="J146" s="10">
        <f>SUMIFS(info!D:D,info!$A:$A,data!$A146,info!$B:$B,data!$G146)</f>
        <v>0.85</v>
      </c>
      <c r="K146" s="10">
        <f>SUMIFS(info!E:E,info!$A:$A,data!$A146,info!$B:$B,data!$G146)</f>
        <v>0.24340000000000001</v>
      </c>
      <c r="L146" s="10">
        <f>SUMIFS(info!F:F,info!$A:$A,data!$A146,info!$B:$B,data!$G146)</f>
        <v>0.8</v>
      </c>
      <c r="M146" s="10">
        <f>IF(SUMIFS(info!$C$25:$C$27,info!$A$25:$A$27,data!A146,info!$B$25:$B$27,data!F146)&lt;=0,1,SUMIFS(info!$C$25:$C$27,info!$A$25:$A$27,data!A146,info!$B$25:$B$27,data!F146))*H146</f>
        <v>299876</v>
      </c>
      <c r="N146" s="10">
        <f t="shared" si="113"/>
        <v>254894.6</v>
      </c>
      <c r="O146" s="10">
        <f t="shared" si="114"/>
        <v>62973.96</v>
      </c>
      <c r="P146" s="10">
        <f t="shared" si="115"/>
        <v>62041.34564</v>
      </c>
      <c r="Q146" s="10">
        <f t="shared" si="116"/>
        <v>239900.80000000002</v>
      </c>
      <c r="R146" s="10">
        <f t="shared" si="117"/>
        <v>203915.68000000002</v>
      </c>
      <c r="S146" s="10">
        <f t="shared" si="118"/>
        <v>0</v>
      </c>
      <c r="T146" s="10">
        <f t="shared" si="118"/>
        <v>0</v>
      </c>
      <c r="U146" s="10">
        <f t="shared" si="118"/>
        <v>224290.81643835615</v>
      </c>
      <c r="V146" s="10">
        <f t="shared" si="118"/>
        <v>148705.63287671233</v>
      </c>
      <c r="W146" s="10">
        <f t="shared" si="118"/>
        <v>74763.605479452061</v>
      </c>
      <c r="X146" s="10">
        <f t="shared" si="118"/>
        <v>0</v>
      </c>
      <c r="Y146" s="10">
        <f t="shared" si="118"/>
        <v>0</v>
      </c>
      <c r="Z146" s="10">
        <f t="shared" si="118"/>
        <v>0</v>
      </c>
      <c r="AA146" s="10"/>
      <c r="AB146" s="10"/>
      <c r="AC146">
        <f t="shared" si="119"/>
        <v>0</v>
      </c>
      <c r="AD146">
        <f t="shared" si="119"/>
        <v>0</v>
      </c>
      <c r="AE146">
        <f t="shared" si="119"/>
        <v>0</v>
      </c>
      <c r="AF146">
        <f t="shared" si="119"/>
        <v>365</v>
      </c>
      <c r="AG146">
        <f t="shared" si="119"/>
        <v>334</v>
      </c>
      <c r="AH146">
        <f t="shared" si="119"/>
        <v>303</v>
      </c>
      <c r="AI146">
        <f t="shared" si="119"/>
        <v>273</v>
      </c>
      <c r="AJ146">
        <f t="shared" si="119"/>
        <v>242</v>
      </c>
      <c r="AK146">
        <f t="shared" si="119"/>
        <v>212</v>
      </c>
      <c r="AL146">
        <f t="shared" si="119"/>
        <v>181</v>
      </c>
      <c r="AM146">
        <f t="shared" si="119"/>
        <v>150</v>
      </c>
      <c r="AN146">
        <f t="shared" si="119"/>
        <v>122</v>
      </c>
      <c r="AO146">
        <f t="shared" si="119"/>
        <v>91</v>
      </c>
      <c r="AP146">
        <f t="shared" si="119"/>
        <v>61</v>
      </c>
      <c r="AQ146">
        <f t="shared" si="119"/>
        <v>30</v>
      </c>
      <c r="AR146">
        <f t="shared" si="109"/>
        <v>0</v>
      </c>
      <c r="AS146">
        <f t="shared" si="109"/>
        <v>-31</v>
      </c>
      <c r="AT146">
        <f t="shared" si="109"/>
        <v>-62</v>
      </c>
      <c r="AU146">
        <f t="shared" si="109"/>
        <v>-92</v>
      </c>
      <c r="AV146">
        <f t="shared" si="109"/>
        <v>-123</v>
      </c>
      <c r="AW146">
        <f t="shared" si="109"/>
        <v>-153</v>
      </c>
      <c r="AX146">
        <f t="shared" si="109"/>
        <v>-184</v>
      </c>
      <c r="AY146">
        <f t="shared" si="107"/>
        <v>0</v>
      </c>
      <c r="AZ146">
        <f t="shared" si="107"/>
        <v>0</v>
      </c>
      <c r="BA146">
        <f t="shared" si="107"/>
        <v>0</v>
      </c>
      <c r="BB146">
        <f t="shared" si="107"/>
        <v>365</v>
      </c>
      <c r="BC146">
        <f t="shared" si="107"/>
        <v>334</v>
      </c>
      <c r="BD146">
        <f t="shared" si="107"/>
        <v>303</v>
      </c>
      <c r="BE146">
        <f t="shared" si="107"/>
        <v>273</v>
      </c>
      <c r="BF146">
        <f t="shared" si="107"/>
        <v>242</v>
      </c>
      <c r="BG146">
        <f t="shared" si="107"/>
        <v>211</v>
      </c>
      <c r="BH146">
        <f t="shared" si="107"/>
        <v>181</v>
      </c>
      <c r="BI146">
        <f t="shared" ref="BI146:BT161" si="120">IF(($E146-BI$4)&gt;365,0,($E146-BI$4))</f>
        <v>150</v>
      </c>
      <c r="BJ146">
        <f t="shared" si="108"/>
        <v>122</v>
      </c>
      <c r="BK146">
        <f t="shared" si="108"/>
        <v>91</v>
      </c>
      <c r="BL146">
        <f t="shared" si="108"/>
        <v>61</v>
      </c>
      <c r="BM146">
        <f t="shared" si="108"/>
        <v>30</v>
      </c>
      <c r="BN146">
        <f t="shared" si="108"/>
        <v>0</v>
      </c>
      <c r="BO146">
        <f t="shared" si="108"/>
        <v>-31</v>
      </c>
      <c r="BP146">
        <f t="shared" si="108"/>
        <v>-62</v>
      </c>
      <c r="BQ146">
        <f t="shared" si="108"/>
        <v>-92</v>
      </c>
      <c r="BR146">
        <f t="shared" si="108"/>
        <v>-123</v>
      </c>
      <c r="BS146">
        <f t="shared" si="108"/>
        <v>-153</v>
      </c>
      <c r="BT146">
        <f t="shared" si="108"/>
        <v>-184</v>
      </c>
    </row>
    <row r="147" spans="1:72" ht="12.95" customHeight="1" x14ac:dyDescent="0.2">
      <c r="A147">
        <f t="shared" si="92"/>
        <v>2025</v>
      </c>
      <c r="B147">
        <f t="shared" si="110"/>
        <v>8</v>
      </c>
      <c r="C147">
        <f t="shared" si="111"/>
        <v>3</v>
      </c>
      <c r="D147" s="11">
        <f>prod!A144</f>
        <v>45870</v>
      </c>
      <c r="E147" s="11">
        <f t="shared" si="112"/>
        <v>46234</v>
      </c>
      <c r="F147" s="10" t="str">
        <f>prod!B144</f>
        <v>דירות</v>
      </c>
      <c r="G147" s="10" t="str">
        <f>prod!C144</f>
        <v xml:space="preserve">דירות </v>
      </c>
      <c r="H147" s="10">
        <f>prod!D144</f>
        <v>415709</v>
      </c>
      <c r="I147" s="10">
        <f>SUMIFS(info!C:C,info!$A:$A,data!$A147,info!$B:$B,data!$G147)</f>
        <v>0.21</v>
      </c>
      <c r="J147" s="10">
        <f>SUMIFS(info!D:D,info!$A:$A,data!$A147,info!$B:$B,data!$G147)</f>
        <v>0.85</v>
      </c>
      <c r="K147" s="10">
        <f>SUMIFS(info!E:E,info!$A:$A,data!$A147,info!$B:$B,data!$G147)</f>
        <v>0.24340000000000001</v>
      </c>
      <c r="L147" s="10">
        <f>SUMIFS(info!F:F,info!$A:$A,data!$A147,info!$B:$B,data!$G147)</f>
        <v>0.8</v>
      </c>
      <c r="M147" s="10">
        <f>IF(SUMIFS(info!$C$25:$C$27,info!$A$25:$A$27,data!A147,info!$B$25:$B$27,data!F147)&lt;=0,1,SUMIFS(info!$C$25:$C$27,info!$A$25:$A$27,data!A147,info!$B$25:$B$27,data!F147))*H147</f>
        <v>415709</v>
      </c>
      <c r="N147" s="10">
        <f t="shared" si="113"/>
        <v>353352.64999999997</v>
      </c>
      <c r="O147" s="10">
        <f t="shared" si="114"/>
        <v>87298.89</v>
      </c>
      <c r="P147" s="10">
        <f t="shared" si="115"/>
        <v>86006.035009999992</v>
      </c>
      <c r="Q147" s="10">
        <f t="shared" si="116"/>
        <v>332567.2</v>
      </c>
      <c r="R147" s="10">
        <f t="shared" si="117"/>
        <v>282682.12</v>
      </c>
      <c r="S147" s="10">
        <f t="shared" si="118"/>
        <v>0</v>
      </c>
      <c r="T147" s="10">
        <f t="shared" si="118"/>
        <v>0</v>
      </c>
      <c r="U147" s="10">
        <f t="shared" si="118"/>
        <v>346234.34520547948</v>
      </c>
      <c r="V147" s="10">
        <f t="shared" si="118"/>
        <v>241452.89863013697</v>
      </c>
      <c r="W147" s="10">
        <f t="shared" si="118"/>
        <v>138949.30958904111</v>
      </c>
      <c r="X147" s="10">
        <f t="shared" si="118"/>
        <v>35306.791780821921</v>
      </c>
      <c r="Y147" s="10">
        <f t="shared" si="118"/>
        <v>0</v>
      </c>
      <c r="Z147" s="10">
        <f t="shared" si="118"/>
        <v>0</v>
      </c>
      <c r="AA147" s="10"/>
      <c r="AB147" s="10"/>
      <c r="AC147">
        <f t="shared" si="119"/>
        <v>0</v>
      </c>
      <c r="AD147">
        <f t="shared" si="119"/>
        <v>0</v>
      </c>
      <c r="AE147">
        <f t="shared" si="119"/>
        <v>0</v>
      </c>
      <c r="AF147">
        <f t="shared" si="119"/>
        <v>0</v>
      </c>
      <c r="AG147">
        <f t="shared" si="119"/>
        <v>365</v>
      </c>
      <c r="AH147">
        <f t="shared" si="119"/>
        <v>334</v>
      </c>
      <c r="AI147">
        <f t="shared" si="119"/>
        <v>304</v>
      </c>
      <c r="AJ147">
        <f t="shared" si="119"/>
        <v>273</v>
      </c>
      <c r="AK147">
        <f t="shared" si="119"/>
        <v>243</v>
      </c>
      <c r="AL147">
        <f t="shared" si="119"/>
        <v>212</v>
      </c>
      <c r="AM147">
        <f t="shared" si="119"/>
        <v>181</v>
      </c>
      <c r="AN147">
        <f t="shared" si="119"/>
        <v>153</v>
      </c>
      <c r="AO147">
        <f t="shared" si="119"/>
        <v>122</v>
      </c>
      <c r="AP147">
        <f t="shared" si="119"/>
        <v>92</v>
      </c>
      <c r="AQ147">
        <f t="shared" si="119"/>
        <v>61</v>
      </c>
      <c r="AR147">
        <f t="shared" si="109"/>
        <v>31</v>
      </c>
      <c r="AS147">
        <f t="shared" si="109"/>
        <v>0</v>
      </c>
      <c r="AT147">
        <f t="shared" si="109"/>
        <v>-31</v>
      </c>
      <c r="AU147">
        <f t="shared" si="109"/>
        <v>-61</v>
      </c>
      <c r="AV147">
        <f t="shared" si="109"/>
        <v>-92</v>
      </c>
      <c r="AW147">
        <f t="shared" si="109"/>
        <v>-122</v>
      </c>
      <c r="AX147">
        <f t="shared" si="109"/>
        <v>-153</v>
      </c>
      <c r="AY147">
        <f t="shared" ref="AY147:BH161" si="121">IF(($E147-AY$4)&gt;365,0,($E147-AY$4))</f>
        <v>0</v>
      </c>
      <c r="AZ147">
        <f t="shared" si="121"/>
        <v>0</v>
      </c>
      <c r="BA147">
        <f t="shared" si="121"/>
        <v>0</v>
      </c>
      <c r="BB147">
        <f t="shared" si="121"/>
        <v>0</v>
      </c>
      <c r="BC147">
        <f t="shared" si="121"/>
        <v>365</v>
      </c>
      <c r="BD147">
        <f t="shared" si="121"/>
        <v>334</v>
      </c>
      <c r="BE147">
        <f t="shared" si="121"/>
        <v>304</v>
      </c>
      <c r="BF147">
        <f t="shared" si="121"/>
        <v>273</v>
      </c>
      <c r="BG147">
        <f t="shared" si="121"/>
        <v>242</v>
      </c>
      <c r="BH147">
        <f t="shared" si="121"/>
        <v>212</v>
      </c>
      <c r="BI147">
        <f t="shared" si="120"/>
        <v>181</v>
      </c>
      <c r="BJ147">
        <f t="shared" si="120"/>
        <v>153</v>
      </c>
      <c r="BK147">
        <f t="shared" si="120"/>
        <v>122</v>
      </c>
      <c r="BL147">
        <f t="shared" si="120"/>
        <v>92</v>
      </c>
      <c r="BM147">
        <f t="shared" si="120"/>
        <v>61</v>
      </c>
      <c r="BN147">
        <f t="shared" si="120"/>
        <v>31</v>
      </c>
      <c r="BO147">
        <f t="shared" si="120"/>
        <v>0</v>
      </c>
      <c r="BP147">
        <f t="shared" si="120"/>
        <v>-31</v>
      </c>
      <c r="BQ147">
        <f t="shared" si="120"/>
        <v>-61</v>
      </c>
      <c r="BR147">
        <f t="shared" si="120"/>
        <v>-92</v>
      </c>
      <c r="BS147">
        <f t="shared" si="120"/>
        <v>-122</v>
      </c>
      <c r="BT147">
        <f t="shared" si="120"/>
        <v>-153</v>
      </c>
    </row>
    <row r="148" spans="1:72" ht="12.95" customHeight="1" x14ac:dyDescent="0.2">
      <c r="A148">
        <f t="shared" si="92"/>
        <v>2025</v>
      </c>
      <c r="B148">
        <f t="shared" si="110"/>
        <v>9</v>
      </c>
      <c r="C148">
        <f t="shared" si="111"/>
        <v>3</v>
      </c>
      <c r="D148" s="11">
        <f>prod!A145</f>
        <v>45901</v>
      </c>
      <c r="E148" s="11">
        <f t="shared" si="112"/>
        <v>46265</v>
      </c>
      <c r="F148" s="10" t="str">
        <f>prod!B145</f>
        <v>דירות</v>
      </c>
      <c r="G148" s="10" t="str">
        <f>prod!C145</f>
        <v xml:space="preserve">דירות </v>
      </c>
      <c r="H148" s="10">
        <f>prod!D145</f>
        <v>386658</v>
      </c>
      <c r="I148" s="10">
        <f>SUMIFS(info!C:C,info!$A:$A,data!$A148,info!$B:$B,data!$G148)</f>
        <v>0.21</v>
      </c>
      <c r="J148" s="10">
        <f>SUMIFS(info!D:D,info!$A:$A,data!$A148,info!$B:$B,data!$G148)</f>
        <v>0.85</v>
      </c>
      <c r="K148" s="10">
        <f>SUMIFS(info!E:E,info!$A:$A,data!$A148,info!$B:$B,data!$G148)</f>
        <v>0.24340000000000001</v>
      </c>
      <c r="L148" s="10">
        <f>SUMIFS(info!F:F,info!$A:$A,data!$A148,info!$B:$B,data!$G148)</f>
        <v>0.8</v>
      </c>
      <c r="M148" s="10">
        <f>IF(SUMIFS(info!$C$25:$C$27,info!$A$25:$A$27,data!A148,info!$B$25:$B$27,data!F148)&lt;=0,1,SUMIFS(info!$C$25:$C$27,info!$A$25:$A$27,data!A148,info!$B$25:$B$27,data!F148))*H148</f>
        <v>386658</v>
      </c>
      <c r="N148" s="10">
        <f t="shared" si="113"/>
        <v>328659.3</v>
      </c>
      <c r="O148" s="10">
        <f t="shared" si="114"/>
        <v>81198.179999999993</v>
      </c>
      <c r="P148" s="10">
        <f t="shared" si="115"/>
        <v>79995.673620000001</v>
      </c>
      <c r="Q148" s="10">
        <f t="shared" si="116"/>
        <v>309326.40000000002</v>
      </c>
      <c r="R148" s="10">
        <f t="shared" si="117"/>
        <v>262927.44</v>
      </c>
      <c r="S148" s="10">
        <f t="shared" si="118"/>
        <v>0</v>
      </c>
      <c r="T148" s="10">
        <f t="shared" si="118"/>
        <v>0</v>
      </c>
      <c r="U148" s="10">
        <f t="shared" si="118"/>
        <v>354877.89041095891</v>
      </c>
      <c r="V148" s="10">
        <f t="shared" si="118"/>
        <v>257418.88767123286</v>
      </c>
      <c r="W148" s="10">
        <f t="shared" si="118"/>
        <v>162078.55890410958</v>
      </c>
      <c r="X148" s="10">
        <f t="shared" si="118"/>
        <v>65678.893150684933</v>
      </c>
      <c r="Y148" s="10">
        <f t="shared" si="118"/>
        <v>0</v>
      </c>
      <c r="Z148" s="10">
        <f t="shared" si="118"/>
        <v>0</v>
      </c>
      <c r="AA148" s="10"/>
      <c r="AB148" s="10"/>
      <c r="AC148">
        <f t="shared" si="119"/>
        <v>0</v>
      </c>
      <c r="AD148">
        <f t="shared" si="119"/>
        <v>0</v>
      </c>
      <c r="AE148">
        <f t="shared" si="119"/>
        <v>0</v>
      </c>
      <c r="AF148">
        <f t="shared" si="119"/>
        <v>0</v>
      </c>
      <c r="AG148">
        <f t="shared" si="119"/>
        <v>0</v>
      </c>
      <c r="AH148">
        <f t="shared" si="119"/>
        <v>365</v>
      </c>
      <c r="AI148">
        <f t="shared" si="119"/>
        <v>335</v>
      </c>
      <c r="AJ148">
        <f t="shared" si="119"/>
        <v>304</v>
      </c>
      <c r="AK148">
        <f t="shared" si="119"/>
        <v>274</v>
      </c>
      <c r="AL148">
        <f t="shared" si="119"/>
        <v>243</v>
      </c>
      <c r="AM148">
        <f t="shared" si="119"/>
        <v>212</v>
      </c>
      <c r="AN148">
        <f t="shared" si="119"/>
        <v>184</v>
      </c>
      <c r="AO148">
        <f t="shared" si="119"/>
        <v>153</v>
      </c>
      <c r="AP148">
        <f t="shared" si="119"/>
        <v>123</v>
      </c>
      <c r="AQ148">
        <f t="shared" si="119"/>
        <v>92</v>
      </c>
      <c r="AR148">
        <f t="shared" si="109"/>
        <v>62</v>
      </c>
      <c r="AS148">
        <f t="shared" si="109"/>
        <v>31</v>
      </c>
      <c r="AT148">
        <f t="shared" si="109"/>
        <v>0</v>
      </c>
      <c r="AU148">
        <f t="shared" si="109"/>
        <v>-30</v>
      </c>
      <c r="AV148">
        <f t="shared" si="109"/>
        <v>-61</v>
      </c>
      <c r="AW148">
        <f t="shared" si="109"/>
        <v>-91</v>
      </c>
      <c r="AX148">
        <f t="shared" si="109"/>
        <v>-122</v>
      </c>
      <c r="AY148">
        <f t="shared" si="121"/>
        <v>0</v>
      </c>
      <c r="AZ148">
        <f t="shared" si="121"/>
        <v>0</v>
      </c>
      <c r="BA148">
        <f t="shared" si="121"/>
        <v>0</v>
      </c>
      <c r="BB148">
        <f t="shared" si="121"/>
        <v>0</v>
      </c>
      <c r="BC148">
        <f t="shared" si="121"/>
        <v>0</v>
      </c>
      <c r="BD148">
        <f t="shared" si="121"/>
        <v>365</v>
      </c>
      <c r="BE148">
        <f t="shared" si="121"/>
        <v>335</v>
      </c>
      <c r="BF148">
        <f t="shared" si="121"/>
        <v>304</v>
      </c>
      <c r="BG148">
        <f t="shared" si="121"/>
        <v>273</v>
      </c>
      <c r="BH148">
        <f t="shared" si="121"/>
        <v>243</v>
      </c>
      <c r="BI148">
        <f t="shared" si="120"/>
        <v>212</v>
      </c>
      <c r="BJ148">
        <f t="shared" si="120"/>
        <v>184</v>
      </c>
      <c r="BK148">
        <f t="shared" si="120"/>
        <v>153</v>
      </c>
      <c r="BL148">
        <f t="shared" si="120"/>
        <v>123</v>
      </c>
      <c r="BM148">
        <f t="shared" si="120"/>
        <v>92</v>
      </c>
      <c r="BN148">
        <f t="shared" si="120"/>
        <v>62</v>
      </c>
      <c r="BO148">
        <f t="shared" si="120"/>
        <v>31</v>
      </c>
      <c r="BP148">
        <f t="shared" si="120"/>
        <v>0</v>
      </c>
      <c r="BQ148">
        <f t="shared" si="120"/>
        <v>-30</v>
      </c>
      <c r="BR148">
        <f t="shared" si="120"/>
        <v>-61</v>
      </c>
      <c r="BS148">
        <f t="shared" si="120"/>
        <v>-91</v>
      </c>
      <c r="BT148">
        <f t="shared" si="120"/>
        <v>-122</v>
      </c>
    </row>
    <row r="149" spans="1:72" ht="12.95" customHeight="1" x14ac:dyDescent="0.2">
      <c r="A149">
        <f t="shared" si="92"/>
        <v>2025</v>
      </c>
      <c r="B149">
        <f t="shared" si="110"/>
        <v>10</v>
      </c>
      <c r="C149">
        <f t="shared" si="111"/>
        <v>4</v>
      </c>
      <c r="D149" s="11">
        <f>prod!A146</f>
        <v>45931</v>
      </c>
      <c r="E149" s="11">
        <f t="shared" si="112"/>
        <v>46295</v>
      </c>
      <c r="F149" s="10" t="str">
        <f>prod!B146</f>
        <v>דירות</v>
      </c>
      <c r="G149" s="10" t="str">
        <f>prod!C146</f>
        <v xml:space="preserve">דירות </v>
      </c>
      <c r="H149" s="10">
        <f>prod!D146</f>
        <v>311479</v>
      </c>
      <c r="I149" s="10">
        <f>SUMIFS(info!C:C,info!$A:$A,data!$A149,info!$B:$B,data!$G149)</f>
        <v>0.21</v>
      </c>
      <c r="J149" s="10">
        <f>SUMIFS(info!D:D,info!$A:$A,data!$A149,info!$B:$B,data!$G149)</f>
        <v>0.85</v>
      </c>
      <c r="K149" s="10">
        <f>SUMIFS(info!E:E,info!$A:$A,data!$A149,info!$B:$B,data!$G149)</f>
        <v>0.24340000000000001</v>
      </c>
      <c r="L149" s="10">
        <f>SUMIFS(info!F:F,info!$A:$A,data!$A149,info!$B:$B,data!$G149)</f>
        <v>0.8</v>
      </c>
      <c r="M149" s="10">
        <f>IF(SUMIFS(info!$C$25:$C$27,info!$A$25:$A$27,data!A149,info!$B$25:$B$27,data!F149)&lt;=0,1,SUMIFS(info!$C$25:$C$27,info!$A$25:$A$27,data!A149,info!$B$25:$B$27,data!F149))*H149</f>
        <v>311479</v>
      </c>
      <c r="N149" s="10">
        <f t="shared" si="113"/>
        <v>264757.14999999997</v>
      </c>
      <c r="O149" s="10">
        <f t="shared" si="114"/>
        <v>65410.59</v>
      </c>
      <c r="P149" s="10">
        <f t="shared" si="115"/>
        <v>64441.890309999995</v>
      </c>
      <c r="Q149" s="10">
        <f t="shared" si="116"/>
        <v>249183.2</v>
      </c>
      <c r="R149" s="10">
        <f t="shared" si="117"/>
        <v>211805.72</v>
      </c>
      <c r="S149" s="10">
        <f t="shared" si="118"/>
        <v>0</v>
      </c>
      <c r="T149" s="10">
        <f t="shared" si="118"/>
        <v>0</v>
      </c>
      <c r="U149" s="10">
        <f t="shared" si="118"/>
        <v>0</v>
      </c>
      <c r="V149" s="10">
        <f t="shared" si="118"/>
        <v>232969.22465753424</v>
      </c>
      <c r="W149" s="10">
        <f t="shared" si="118"/>
        <v>156166.18356164385</v>
      </c>
      <c r="X149" s="10">
        <f t="shared" si="118"/>
        <v>78509.775342465757</v>
      </c>
      <c r="Y149" s="10">
        <f t="shared" si="118"/>
        <v>0</v>
      </c>
      <c r="Z149" s="10">
        <f t="shared" si="118"/>
        <v>0</v>
      </c>
      <c r="AA149" s="10"/>
      <c r="AB149" s="10"/>
      <c r="AC149">
        <f t="shared" si="119"/>
        <v>0</v>
      </c>
      <c r="AD149">
        <f t="shared" si="119"/>
        <v>0</v>
      </c>
      <c r="AE149">
        <f t="shared" si="119"/>
        <v>0</v>
      </c>
      <c r="AF149">
        <f t="shared" si="119"/>
        <v>0</v>
      </c>
      <c r="AG149">
        <f t="shared" si="119"/>
        <v>0</v>
      </c>
      <c r="AH149">
        <f t="shared" si="119"/>
        <v>0</v>
      </c>
      <c r="AI149">
        <f t="shared" si="119"/>
        <v>365</v>
      </c>
      <c r="AJ149">
        <f t="shared" si="119"/>
        <v>334</v>
      </c>
      <c r="AK149">
        <f t="shared" si="119"/>
        <v>304</v>
      </c>
      <c r="AL149">
        <f t="shared" si="119"/>
        <v>273</v>
      </c>
      <c r="AM149">
        <f t="shared" si="119"/>
        <v>242</v>
      </c>
      <c r="AN149">
        <f t="shared" si="119"/>
        <v>214</v>
      </c>
      <c r="AO149">
        <f t="shared" si="119"/>
        <v>183</v>
      </c>
      <c r="AP149">
        <f t="shared" si="119"/>
        <v>153</v>
      </c>
      <c r="AQ149">
        <f t="shared" si="119"/>
        <v>122</v>
      </c>
      <c r="AR149">
        <f t="shared" si="119"/>
        <v>92</v>
      </c>
      <c r="AS149">
        <f t="shared" ref="AS149:AX164" si="122">IF(($E149-AS$4)&gt;365,0,($E149-AS$4))</f>
        <v>61</v>
      </c>
      <c r="AT149">
        <f t="shared" si="122"/>
        <v>30</v>
      </c>
      <c r="AU149">
        <f t="shared" si="122"/>
        <v>0</v>
      </c>
      <c r="AV149">
        <f t="shared" si="122"/>
        <v>-31</v>
      </c>
      <c r="AW149">
        <f t="shared" si="122"/>
        <v>-61</v>
      </c>
      <c r="AX149">
        <f t="shared" si="122"/>
        <v>-92</v>
      </c>
      <c r="AY149">
        <f t="shared" si="121"/>
        <v>0</v>
      </c>
      <c r="AZ149">
        <f t="shared" si="121"/>
        <v>0</v>
      </c>
      <c r="BA149">
        <f t="shared" si="121"/>
        <v>0</v>
      </c>
      <c r="BB149">
        <f t="shared" si="121"/>
        <v>0</v>
      </c>
      <c r="BC149">
        <f t="shared" si="121"/>
        <v>0</v>
      </c>
      <c r="BD149">
        <f t="shared" si="121"/>
        <v>0</v>
      </c>
      <c r="BE149">
        <f t="shared" si="121"/>
        <v>365</v>
      </c>
      <c r="BF149">
        <f t="shared" si="121"/>
        <v>334</v>
      </c>
      <c r="BG149">
        <f t="shared" si="121"/>
        <v>303</v>
      </c>
      <c r="BH149">
        <f t="shared" si="121"/>
        <v>273</v>
      </c>
      <c r="BI149">
        <f t="shared" si="120"/>
        <v>242</v>
      </c>
      <c r="BJ149">
        <f t="shared" si="120"/>
        <v>214</v>
      </c>
      <c r="BK149">
        <f t="shared" si="120"/>
        <v>183</v>
      </c>
      <c r="BL149">
        <f t="shared" si="120"/>
        <v>153</v>
      </c>
      <c r="BM149">
        <f t="shared" si="120"/>
        <v>122</v>
      </c>
      <c r="BN149">
        <f t="shared" si="120"/>
        <v>92</v>
      </c>
      <c r="BO149">
        <f t="shared" si="120"/>
        <v>61</v>
      </c>
      <c r="BP149">
        <f t="shared" si="120"/>
        <v>30</v>
      </c>
      <c r="BQ149">
        <f t="shared" si="120"/>
        <v>0</v>
      </c>
      <c r="BR149">
        <f t="shared" si="120"/>
        <v>-31</v>
      </c>
      <c r="BS149">
        <f t="shared" si="120"/>
        <v>-61</v>
      </c>
      <c r="BT149">
        <f t="shared" si="120"/>
        <v>-92</v>
      </c>
    </row>
    <row r="150" spans="1:72" ht="12.95" customHeight="1" x14ac:dyDescent="0.2">
      <c r="A150">
        <f t="shared" si="92"/>
        <v>2025</v>
      </c>
      <c r="B150">
        <f t="shared" si="110"/>
        <v>11</v>
      </c>
      <c r="C150">
        <f t="shared" si="111"/>
        <v>4</v>
      </c>
      <c r="D150" s="11">
        <f>prod!A147</f>
        <v>45962</v>
      </c>
      <c r="E150" s="11">
        <f t="shared" si="112"/>
        <v>46326</v>
      </c>
      <c r="F150" s="10" t="str">
        <f>prod!B147</f>
        <v>דירות</v>
      </c>
      <c r="G150" s="10" t="str">
        <f>prod!C147</f>
        <v xml:space="preserve">דירות </v>
      </c>
      <c r="H150" s="10">
        <f>prod!D147</f>
        <v>396404</v>
      </c>
      <c r="I150" s="10">
        <f>SUMIFS(info!C:C,info!$A:$A,data!$A150,info!$B:$B,data!$G150)</f>
        <v>0.21</v>
      </c>
      <c r="J150" s="10">
        <f>SUMIFS(info!D:D,info!$A:$A,data!$A150,info!$B:$B,data!$G150)</f>
        <v>0.85</v>
      </c>
      <c r="K150" s="10">
        <f>SUMIFS(info!E:E,info!$A:$A,data!$A150,info!$B:$B,data!$G150)</f>
        <v>0.24340000000000001</v>
      </c>
      <c r="L150" s="10">
        <f>SUMIFS(info!F:F,info!$A:$A,data!$A150,info!$B:$B,data!$G150)</f>
        <v>0.8</v>
      </c>
      <c r="M150" s="10">
        <f>IF(SUMIFS(info!$C$25:$C$27,info!$A$25:$A$27,data!A150,info!$B$25:$B$27,data!F150)&lt;=0,1,SUMIFS(info!$C$25:$C$27,info!$A$25:$A$27,data!A150,info!$B$25:$B$27,data!F150))*H150</f>
        <v>396404</v>
      </c>
      <c r="N150" s="10">
        <f t="shared" si="113"/>
        <v>336943.39999999997</v>
      </c>
      <c r="O150" s="10">
        <f t="shared" si="114"/>
        <v>83244.84</v>
      </c>
      <c r="P150" s="10">
        <f t="shared" si="115"/>
        <v>82012.023559999987</v>
      </c>
      <c r="Q150" s="10">
        <f t="shared" si="116"/>
        <v>317123.20000000001</v>
      </c>
      <c r="R150" s="10">
        <f t="shared" si="117"/>
        <v>269554.72000000003</v>
      </c>
      <c r="S150" s="10">
        <f t="shared" si="118"/>
        <v>0</v>
      </c>
      <c r="T150" s="10">
        <f t="shared" si="118"/>
        <v>0</v>
      </c>
      <c r="U150" s="10">
        <f t="shared" si="118"/>
        <v>0</v>
      </c>
      <c r="V150" s="10">
        <f t="shared" si="118"/>
        <v>330155.66027397261</v>
      </c>
      <c r="W150" s="10">
        <f t="shared" si="118"/>
        <v>232412.20821917808</v>
      </c>
      <c r="X150" s="10">
        <f t="shared" si="118"/>
        <v>133582.71780821917</v>
      </c>
      <c r="Y150" s="10">
        <f t="shared" si="118"/>
        <v>33667.189041095888</v>
      </c>
      <c r="Z150" s="10">
        <f t="shared" si="118"/>
        <v>0</v>
      </c>
      <c r="AA150" s="10"/>
      <c r="AB150" s="10"/>
      <c r="AC150">
        <f t="shared" ref="AC150:AR165" si="123">IF(($E150-AC$4)&gt;365,0,($E150-AC$4))</f>
        <v>0</v>
      </c>
      <c r="AD150">
        <f t="shared" si="123"/>
        <v>0</v>
      </c>
      <c r="AE150">
        <f t="shared" si="123"/>
        <v>0</v>
      </c>
      <c r="AF150">
        <f t="shared" si="123"/>
        <v>0</v>
      </c>
      <c r="AG150">
        <f t="shared" si="123"/>
        <v>0</v>
      </c>
      <c r="AH150">
        <f t="shared" si="123"/>
        <v>0</v>
      </c>
      <c r="AI150">
        <f t="shared" si="123"/>
        <v>0</v>
      </c>
      <c r="AJ150">
        <f t="shared" si="123"/>
        <v>365</v>
      </c>
      <c r="AK150">
        <f t="shared" si="123"/>
        <v>335</v>
      </c>
      <c r="AL150">
        <f t="shared" si="123"/>
        <v>304</v>
      </c>
      <c r="AM150">
        <f t="shared" si="123"/>
        <v>273</v>
      </c>
      <c r="AN150">
        <f t="shared" si="123"/>
        <v>245</v>
      </c>
      <c r="AO150">
        <f t="shared" si="123"/>
        <v>214</v>
      </c>
      <c r="AP150">
        <f t="shared" si="123"/>
        <v>184</v>
      </c>
      <c r="AQ150">
        <f t="shared" si="123"/>
        <v>153</v>
      </c>
      <c r="AR150">
        <f t="shared" si="123"/>
        <v>123</v>
      </c>
      <c r="AS150">
        <f t="shared" si="122"/>
        <v>92</v>
      </c>
      <c r="AT150">
        <f t="shared" si="122"/>
        <v>61</v>
      </c>
      <c r="AU150">
        <f t="shared" si="122"/>
        <v>31</v>
      </c>
      <c r="AV150">
        <f t="shared" si="122"/>
        <v>0</v>
      </c>
      <c r="AW150">
        <f t="shared" si="122"/>
        <v>-30</v>
      </c>
      <c r="AX150">
        <f t="shared" si="122"/>
        <v>-61</v>
      </c>
      <c r="AY150">
        <f t="shared" si="121"/>
        <v>0</v>
      </c>
      <c r="AZ150">
        <f t="shared" si="121"/>
        <v>0</v>
      </c>
      <c r="BA150">
        <f t="shared" si="121"/>
        <v>0</v>
      </c>
      <c r="BB150">
        <f t="shared" si="121"/>
        <v>0</v>
      </c>
      <c r="BC150">
        <f t="shared" si="121"/>
        <v>0</v>
      </c>
      <c r="BD150">
        <f t="shared" si="121"/>
        <v>0</v>
      </c>
      <c r="BE150">
        <f t="shared" si="121"/>
        <v>0</v>
      </c>
      <c r="BF150">
        <f t="shared" si="121"/>
        <v>365</v>
      </c>
      <c r="BG150">
        <f t="shared" si="121"/>
        <v>334</v>
      </c>
      <c r="BH150">
        <f t="shared" si="121"/>
        <v>304</v>
      </c>
      <c r="BI150">
        <f t="shared" si="120"/>
        <v>273</v>
      </c>
      <c r="BJ150">
        <f t="shared" si="120"/>
        <v>245</v>
      </c>
      <c r="BK150">
        <f t="shared" si="120"/>
        <v>214</v>
      </c>
      <c r="BL150">
        <f t="shared" si="120"/>
        <v>184</v>
      </c>
      <c r="BM150">
        <f t="shared" si="120"/>
        <v>153</v>
      </c>
      <c r="BN150">
        <f t="shared" si="120"/>
        <v>123</v>
      </c>
      <c r="BO150">
        <f t="shared" si="120"/>
        <v>92</v>
      </c>
      <c r="BP150">
        <f t="shared" si="120"/>
        <v>61</v>
      </c>
      <c r="BQ150">
        <f t="shared" si="120"/>
        <v>31</v>
      </c>
      <c r="BR150">
        <f t="shared" si="120"/>
        <v>0</v>
      </c>
      <c r="BS150">
        <f t="shared" si="120"/>
        <v>-30</v>
      </c>
      <c r="BT150">
        <f t="shared" si="120"/>
        <v>-61</v>
      </c>
    </row>
    <row r="151" spans="1:72" ht="12.95" customHeight="1" x14ac:dyDescent="0.2">
      <c r="A151">
        <f t="shared" si="92"/>
        <v>2025</v>
      </c>
      <c r="B151">
        <f t="shared" si="110"/>
        <v>12</v>
      </c>
      <c r="C151">
        <f t="shared" si="111"/>
        <v>4</v>
      </c>
      <c r="D151" s="11">
        <f>prod!A148</f>
        <v>45992</v>
      </c>
      <c r="E151" s="11">
        <f t="shared" si="112"/>
        <v>46356</v>
      </c>
      <c r="F151" s="10" t="str">
        <f>prod!B148</f>
        <v>דירות</v>
      </c>
      <c r="G151" s="10" t="str">
        <f>prod!C148</f>
        <v xml:space="preserve">דירות </v>
      </c>
      <c r="H151" s="10">
        <f>prod!D148</f>
        <v>301835</v>
      </c>
      <c r="I151" s="10">
        <f>SUMIFS(info!C:C,info!$A:$A,data!$A151,info!$B:$B,data!$G151)</f>
        <v>0.21</v>
      </c>
      <c r="J151" s="10">
        <f>SUMIFS(info!D:D,info!$A:$A,data!$A151,info!$B:$B,data!$G151)</f>
        <v>0.85</v>
      </c>
      <c r="K151" s="10">
        <f>SUMIFS(info!E:E,info!$A:$A,data!$A151,info!$B:$B,data!$G151)</f>
        <v>0.24340000000000001</v>
      </c>
      <c r="L151" s="10">
        <f>SUMIFS(info!F:F,info!$A:$A,data!$A151,info!$B:$B,data!$G151)</f>
        <v>0.8</v>
      </c>
      <c r="M151" s="10">
        <f>IF(SUMIFS(info!$C$25:$C$27,info!$A$25:$A$27,data!A151,info!$B$25:$B$27,data!F151)&lt;=0,1,SUMIFS(info!$C$25:$C$27,info!$A$25:$A$27,data!A151,info!$B$25:$B$27,data!F151))*H151</f>
        <v>301835</v>
      </c>
      <c r="N151" s="10">
        <f t="shared" si="113"/>
        <v>256559.75</v>
      </c>
      <c r="O151" s="10">
        <f t="shared" si="114"/>
        <v>63385.35</v>
      </c>
      <c r="P151" s="10">
        <f t="shared" si="115"/>
        <v>62446.643150000004</v>
      </c>
      <c r="Q151" s="10">
        <f t="shared" si="116"/>
        <v>241468</v>
      </c>
      <c r="R151" s="10">
        <f t="shared" si="117"/>
        <v>205247.8</v>
      </c>
      <c r="S151" s="10">
        <f t="shared" si="118"/>
        <v>0</v>
      </c>
      <c r="T151" s="10">
        <f t="shared" si="118"/>
        <v>0</v>
      </c>
      <c r="U151" s="10">
        <f t="shared" si="118"/>
        <v>0</v>
      </c>
      <c r="V151" s="10">
        <f t="shared" si="118"/>
        <v>276199.69863013696</v>
      </c>
      <c r="W151" s="10">
        <f t="shared" si="118"/>
        <v>201774.63013698629</v>
      </c>
      <c r="X151" s="10">
        <f t="shared" si="118"/>
        <v>126522.61643835617</v>
      </c>
      <c r="Y151" s="10">
        <f t="shared" si="118"/>
        <v>50443.657534246573</v>
      </c>
      <c r="Z151" s="10">
        <f t="shared" si="118"/>
        <v>0</v>
      </c>
      <c r="AA151" s="10"/>
      <c r="AB151" s="10"/>
      <c r="AC151">
        <f t="shared" si="123"/>
        <v>0</v>
      </c>
      <c r="AD151">
        <f t="shared" si="123"/>
        <v>0</v>
      </c>
      <c r="AE151">
        <f t="shared" si="123"/>
        <v>0</v>
      </c>
      <c r="AF151">
        <f t="shared" si="123"/>
        <v>0</v>
      </c>
      <c r="AG151">
        <f t="shared" si="123"/>
        <v>0</v>
      </c>
      <c r="AH151">
        <f t="shared" si="123"/>
        <v>0</v>
      </c>
      <c r="AI151">
        <f t="shared" si="123"/>
        <v>0</v>
      </c>
      <c r="AJ151">
        <f t="shared" si="123"/>
        <v>0</v>
      </c>
      <c r="AK151">
        <f t="shared" si="123"/>
        <v>365</v>
      </c>
      <c r="AL151">
        <f t="shared" si="123"/>
        <v>334</v>
      </c>
      <c r="AM151">
        <f t="shared" si="123"/>
        <v>303</v>
      </c>
      <c r="AN151">
        <f t="shared" si="123"/>
        <v>275</v>
      </c>
      <c r="AO151">
        <f t="shared" si="123"/>
        <v>244</v>
      </c>
      <c r="AP151">
        <f t="shared" si="123"/>
        <v>214</v>
      </c>
      <c r="AQ151">
        <f t="shared" si="123"/>
        <v>183</v>
      </c>
      <c r="AR151">
        <f t="shared" si="123"/>
        <v>153</v>
      </c>
      <c r="AS151">
        <f t="shared" si="122"/>
        <v>122</v>
      </c>
      <c r="AT151">
        <f t="shared" si="122"/>
        <v>91</v>
      </c>
      <c r="AU151">
        <f t="shared" si="122"/>
        <v>61</v>
      </c>
      <c r="AV151">
        <f t="shared" si="122"/>
        <v>30</v>
      </c>
      <c r="AW151">
        <f t="shared" si="122"/>
        <v>0</v>
      </c>
      <c r="AX151">
        <f t="shared" si="122"/>
        <v>-31</v>
      </c>
      <c r="AY151">
        <f t="shared" si="121"/>
        <v>0</v>
      </c>
      <c r="AZ151">
        <f t="shared" si="121"/>
        <v>0</v>
      </c>
      <c r="BA151">
        <f t="shared" si="121"/>
        <v>0</v>
      </c>
      <c r="BB151">
        <f t="shared" si="121"/>
        <v>0</v>
      </c>
      <c r="BC151">
        <f t="shared" si="121"/>
        <v>0</v>
      </c>
      <c r="BD151">
        <f t="shared" si="121"/>
        <v>0</v>
      </c>
      <c r="BE151">
        <f t="shared" si="121"/>
        <v>0</v>
      </c>
      <c r="BF151">
        <f t="shared" si="121"/>
        <v>0</v>
      </c>
      <c r="BG151">
        <f t="shared" si="121"/>
        <v>364</v>
      </c>
      <c r="BH151">
        <f t="shared" si="121"/>
        <v>334</v>
      </c>
      <c r="BI151">
        <f t="shared" si="120"/>
        <v>303</v>
      </c>
      <c r="BJ151">
        <f t="shared" si="120"/>
        <v>275</v>
      </c>
      <c r="BK151">
        <f t="shared" si="120"/>
        <v>244</v>
      </c>
      <c r="BL151">
        <f t="shared" si="120"/>
        <v>214</v>
      </c>
      <c r="BM151">
        <f t="shared" si="120"/>
        <v>183</v>
      </c>
      <c r="BN151">
        <f t="shared" si="120"/>
        <v>153</v>
      </c>
      <c r="BO151">
        <f t="shared" si="120"/>
        <v>122</v>
      </c>
      <c r="BP151">
        <f t="shared" si="120"/>
        <v>91</v>
      </c>
      <c r="BQ151">
        <f t="shared" si="120"/>
        <v>61</v>
      </c>
      <c r="BR151">
        <f t="shared" si="120"/>
        <v>30</v>
      </c>
      <c r="BS151">
        <f t="shared" si="120"/>
        <v>0</v>
      </c>
      <c r="BT151">
        <f t="shared" si="120"/>
        <v>-31</v>
      </c>
    </row>
    <row r="152" spans="1:72" ht="12.95" customHeight="1" x14ac:dyDescent="0.2">
      <c r="A152">
        <f t="shared" si="92"/>
        <v>2026</v>
      </c>
      <c r="B152">
        <f t="shared" si="110"/>
        <v>1</v>
      </c>
      <c r="C152">
        <f t="shared" si="111"/>
        <v>1</v>
      </c>
      <c r="D152" s="11">
        <f>prod!A149</f>
        <v>46023</v>
      </c>
      <c r="E152" s="11">
        <f t="shared" si="112"/>
        <v>46387</v>
      </c>
      <c r="F152" s="10" t="str">
        <f>prod!B149</f>
        <v>דירות</v>
      </c>
      <c r="G152" s="10" t="str">
        <f>prod!C149</f>
        <v xml:space="preserve">דירות </v>
      </c>
      <c r="H152" s="10">
        <f>prod!D149</f>
        <v>297275</v>
      </c>
      <c r="I152" s="10">
        <f>SUMIFS(info!C:C,info!$A:$A,data!$A152,info!$B:$B,data!$G152)</f>
        <v>0.21</v>
      </c>
      <c r="J152" s="10">
        <f>SUMIFS(info!D:D,info!$A:$A,data!$A152,info!$B:$B,data!$G152)</f>
        <v>0.85</v>
      </c>
      <c r="K152" s="10">
        <f>SUMIFS(info!E:E,info!$A:$A,data!$A152,info!$B:$B,data!$G152)</f>
        <v>0.24340000000000001</v>
      </c>
      <c r="L152" s="10">
        <f>SUMIFS(info!F:F,info!$A:$A,data!$A152,info!$B:$B,data!$G152)</f>
        <v>0.8</v>
      </c>
      <c r="M152" s="10">
        <f>IF(SUMIFS(info!$C$25:$C$27,info!$A$25:$A$27,data!A152,info!$B$25:$B$27,data!F152)&lt;=0,1,SUMIFS(info!$C$25:$C$27,info!$A$25:$A$27,data!A152,info!$B$25:$B$27,data!F152))*H152</f>
        <v>297275</v>
      </c>
      <c r="N152" s="10">
        <f t="shared" si="113"/>
        <v>252683.75</v>
      </c>
      <c r="O152" s="10">
        <f t="shared" si="114"/>
        <v>62427.75</v>
      </c>
      <c r="P152" s="10">
        <f t="shared" si="115"/>
        <v>61503.224750000001</v>
      </c>
      <c r="Q152" s="10">
        <f t="shared" si="116"/>
        <v>237820</v>
      </c>
      <c r="R152" s="10">
        <f t="shared" si="117"/>
        <v>202147</v>
      </c>
      <c r="S152" s="10">
        <f t="shared" si="118"/>
        <v>0</v>
      </c>
      <c r="T152" s="10">
        <f t="shared" si="118"/>
        <v>0</v>
      </c>
      <c r="U152" s="10">
        <f t="shared" si="118"/>
        <v>0</v>
      </c>
      <c r="V152" s="10">
        <f t="shared" si="118"/>
        <v>0</v>
      </c>
      <c r="W152" s="10">
        <f t="shared" si="118"/>
        <v>223974.31506849316</v>
      </c>
      <c r="X152" s="10">
        <f t="shared" si="118"/>
        <v>149859.17808219179</v>
      </c>
      <c r="Y152" s="10">
        <f t="shared" si="118"/>
        <v>74929.589041095896</v>
      </c>
      <c r="Z152" s="10">
        <f t="shared" si="118"/>
        <v>0</v>
      </c>
      <c r="AA152" s="10"/>
      <c r="AB152" s="10"/>
      <c r="AC152">
        <f t="shared" si="123"/>
        <v>0</v>
      </c>
      <c r="AD152">
        <f t="shared" si="123"/>
        <v>0</v>
      </c>
      <c r="AE152">
        <f t="shared" si="123"/>
        <v>0</v>
      </c>
      <c r="AF152">
        <f t="shared" si="123"/>
        <v>0</v>
      </c>
      <c r="AG152">
        <f t="shared" si="123"/>
        <v>0</v>
      </c>
      <c r="AH152">
        <f t="shared" si="123"/>
        <v>0</v>
      </c>
      <c r="AI152">
        <f t="shared" si="123"/>
        <v>0</v>
      </c>
      <c r="AJ152">
        <f t="shared" si="123"/>
        <v>0</v>
      </c>
      <c r="AK152">
        <f t="shared" si="123"/>
        <v>0</v>
      </c>
      <c r="AL152">
        <f t="shared" si="123"/>
        <v>365</v>
      </c>
      <c r="AM152">
        <f t="shared" si="123"/>
        <v>334</v>
      </c>
      <c r="AN152">
        <f t="shared" si="123"/>
        <v>306</v>
      </c>
      <c r="AO152">
        <f t="shared" si="123"/>
        <v>275</v>
      </c>
      <c r="AP152">
        <f t="shared" si="123"/>
        <v>245</v>
      </c>
      <c r="AQ152">
        <f t="shared" si="123"/>
        <v>214</v>
      </c>
      <c r="AR152">
        <f t="shared" si="123"/>
        <v>184</v>
      </c>
      <c r="AS152">
        <f t="shared" si="122"/>
        <v>153</v>
      </c>
      <c r="AT152">
        <f t="shared" si="122"/>
        <v>122</v>
      </c>
      <c r="AU152">
        <f t="shared" si="122"/>
        <v>92</v>
      </c>
      <c r="AV152">
        <f t="shared" si="122"/>
        <v>61</v>
      </c>
      <c r="AW152">
        <f t="shared" si="122"/>
        <v>31</v>
      </c>
      <c r="AX152">
        <f t="shared" si="122"/>
        <v>0</v>
      </c>
      <c r="AY152">
        <f t="shared" si="121"/>
        <v>0</v>
      </c>
      <c r="AZ152">
        <f t="shared" si="121"/>
        <v>0</v>
      </c>
      <c r="BA152">
        <f t="shared" si="121"/>
        <v>0</v>
      </c>
      <c r="BB152">
        <f t="shared" si="121"/>
        <v>0</v>
      </c>
      <c r="BC152">
        <f t="shared" si="121"/>
        <v>0</v>
      </c>
      <c r="BD152">
        <f t="shared" si="121"/>
        <v>0</v>
      </c>
      <c r="BE152">
        <f t="shared" si="121"/>
        <v>0</v>
      </c>
      <c r="BF152">
        <f t="shared" si="121"/>
        <v>0</v>
      </c>
      <c r="BG152">
        <f t="shared" si="121"/>
        <v>0</v>
      </c>
      <c r="BH152">
        <f t="shared" si="121"/>
        <v>365</v>
      </c>
      <c r="BI152">
        <f t="shared" si="120"/>
        <v>334</v>
      </c>
      <c r="BJ152">
        <f t="shared" si="120"/>
        <v>306</v>
      </c>
      <c r="BK152">
        <f t="shared" si="120"/>
        <v>275</v>
      </c>
      <c r="BL152">
        <f t="shared" si="120"/>
        <v>245</v>
      </c>
      <c r="BM152">
        <f t="shared" si="120"/>
        <v>214</v>
      </c>
      <c r="BN152">
        <f t="shared" si="120"/>
        <v>184</v>
      </c>
      <c r="BO152">
        <f t="shared" si="120"/>
        <v>153</v>
      </c>
      <c r="BP152">
        <f t="shared" si="120"/>
        <v>122</v>
      </c>
      <c r="BQ152">
        <f t="shared" si="120"/>
        <v>92</v>
      </c>
      <c r="BR152">
        <f t="shared" si="120"/>
        <v>61</v>
      </c>
      <c r="BS152">
        <f t="shared" si="120"/>
        <v>31</v>
      </c>
      <c r="BT152">
        <f t="shared" si="120"/>
        <v>0</v>
      </c>
    </row>
    <row r="153" spans="1:72" ht="12.95" customHeight="1" x14ac:dyDescent="0.2">
      <c r="A153">
        <f t="shared" si="92"/>
        <v>2026</v>
      </c>
      <c r="B153">
        <f t="shared" si="110"/>
        <v>2</v>
      </c>
      <c r="C153">
        <f t="shared" si="111"/>
        <v>1</v>
      </c>
      <c r="D153" s="11">
        <f>prod!A150</f>
        <v>46054</v>
      </c>
      <c r="E153" s="11">
        <f t="shared" si="112"/>
        <v>46418</v>
      </c>
      <c r="F153" s="10" t="str">
        <f>prod!B150</f>
        <v>דירות</v>
      </c>
      <c r="G153" s="10" t="str">
        <f>prod!C150</f>
        <v xml:space="preserve">דירות </v>
      </c>
      <c r="H153" s="10">
        <f>prod!D150</f>
        <v>327003</v>
      </c>
      <c r="I153" s="10">
        <f>SUMIFS(info!C:C,info!$A:$A,data!$A153,info!$B:$B,data!$G153)</f>
        <v>0.21</v>
      </c>
      <c r="J153" s="10">
        <f>SUMIFS(info!D:D,info!$A:$A,data!$A153,info!$B:$B,data!$G153)</f>
        <v>0.85</v>
      </c>
      <c r="K153" s="10">
        <f>SUMIFS(info!E:E,info!$A:$A,data!$A153,info!$B:$B,data!$G153)</f>
        <v>0.24340000000000001</v>
      </c>
      <c r="L153" s="10">
        <f>SUMIFS(info!F:F,info!$A:$A,data!$A153,info!$B:$B,data!$G153)</f>
        <v>0.8</v>
      </c>
      <c r="M153" s="10">
        <f>IF(SUMIFS(info!$C$25:$C$27,info!$A$25:$A$27,data!A153,info!$B$25:$B$27,data!F153)&lt;=0,1,SUMIFS(info!$C$25:$C$27,info!$A$25:$A$27,data!A153,info!$B$25:$B$27,data!F153))*H153</f>
        <v>327003</v>
      </c>
      <c r="N153" s="10">
        <f t="shared" si="113"/>
        <v>277952.55</v>
      </c>
      <c r="O153" s="10">
        <f t="shared" si="114"/>
        <v>68670.63</v>
      </c>
      <c r="P153" s="10">
        <f t="shared" si="115"/>
        <v>67653.650670000003</v>
      </c>
      <c r="Q153" s="10">
        <f t="shared" si="116"/>
        <v>261602.40000000002</v>
      </c>
      <c r="R153" s="10">
        <f t="shared" si="117"/>
        <v>222362.04</v>
      </c>
      <c r="S153" s="10">
        <f t="shared" si="118"/>
        <v>0</v>
      </c>
      <c r="T153" s="10">
        <f t="shared" si="118"/>
        <v>0</v>
      </c>
      <c r="U153" s="10">
        <f t="shared" si="118"/>
        <v>0</v>
      </c>
      <c r="V153" s="10">
        <f t="shared" si="118"/>
        <v>0</v>
      </c>
      <c r="W153" s="10">
        <f t="shared" si="118"/>
        <v>274144.98082191782</v>
      </c>
      <c r="X153" s="10">
        <f t="shared" si="118"/>
        <v>192618.20547945207</v>
      </c>
      <c r="Y153" s="10">
        <f t="shared" si="118"/>
        <v>110195.53150684932</v>
      </c>
      <c r="Z153" s="10">
        <f t="shared" si="118"/>
        <v>27772.857534246574</v>
      </c>
      <c r="AA153" s="10"/>
      <c r="AB153" s="10"/>
      <c r="AC153">
        <f t="shared" si="123"/>
        <v>0</v>
      </c>
      <c r="AD153">
        <f t="shared" si="123"/>
        <v>0</v>
      </c>
      <c r="AE153">
        <f t="shared" si="123"/>
        <v>0</v>
      </c>
      <c r="AF153">
        <f t="shared" si="123"/>
        <v>0</v>
      </c>
      <c r="AG153">
        <f t="shared" si="123"/>
        <v>0</v>
      </c>
      <c r="AH153">
        <f t="shared" si="123"/>
        <v>0</v>
      </c>
      <c r="AI153">
        <f t="shared" si="123"/>
        <v>0</v>
      </c>
      <c r="AJ153">
        <f t="shared" si="123"/>
        <v>0</v>
      </c>
      <c r="AK153">
        <f t="shared" si="123"/>
        <v>0</v>
      </c>
      <c r="AL153">
        <f t="shared" si="123"/>
        <v>0</v>
      </c>
      <c r="AM153">
        <f t="shared" si="123"/>
        <v>365</v>
      </c>
      <c r="AN153">
        <f t="shared" si="123"/>
        <v>337</v>
      </c>
      <c r="AO153">
        <f t="shared" si="123"/>
        <v>306</v>
      </c>
      <c r="AP153">
        <f t="shared" si="123"/>
        <v>276</v>
      </c>
      <c r="AQ153">
        <f t="shared" si="123"/>
        <v>245</v>
      </c>
      <c r="AR153">
        <f t="shared" si="123"/>
        <v>215</v>
      </c>
      <c r="AS153">
        <f t="shared" si="122"/>
        <v>184</v>
      </c>
      <c r="AT153">
        <f t="shared" si="122"/>
        <v>153</v>
      </c>
      <c r="AU153">
        <f t="shared" si="122"/>
        <v>123</v>
      </c>
      <c r="AV153">
        <f t="shared" si="122"/>
        <v>92</v>
      </c>
      <c r="AW153">
        <f t="shared" si="122"/>
        <v>62</v>
      </c>
      <c r="AX153">
        <f t="shared" si="122"/>
        <v>31</v>
      </c>
      <c r="AY153">
        <f t="shared" si="121"/>
        <v>0</v>
      </c>
      <c r="AZ153">
        <f t="shared" si="121"/>
        <v>0</v>
      </c>
      <c r="BA153">
        <f t="shared" si="121"/>
        <v>0</v>
      </c>
      <c r="BB153">
        <f t="shared" si="121"/>
        <v>0</v>
      </c>
      <c r="BC153">
        <f t="shared" si="121"/>
        <v>0</v>
      </c>
      <c r="BD153">
        <f t="shared" si="121"/>
        <v>0</v>
      </c>
      <c r="BE153">
        <f t="shared" si="121"/>
        <v>0</v>
      </c>
      <c r="BF153">
        <f t="shared" si="121"/>
        <v>0</v>
      </c>
      <c r="BG153">
        <f t="shared" si="121"/>
        <v>0</v>
      </c>
      <c r="BH153">
        <f t="shared" si="121"/>
        <v>0</v>
      </c>
      <c r="BI153">
        <f t="shared" si="120"/>
        <v>365</v>
      </c>
      <c r="BJ153">
        <f t="shared" si="120"/>
        <v>337</v>
      </c>
      <c r="BK153">
        <f t="shared" si="120"/>
        <v>306</v>
      </c>
      <c r="BL153">
        <f t="shared" si="120"/>
        <v>276</v>
      </c>
      <c r="BM153">
        <f t="shared" si="120"/>
        <v>245</v>
      </c>
      <c r="BN153">
        <f t="shared" si="120"/>
        <v>215</v>
      </c>
      <c r="BO153">
        <f t="shared" si="120"/>
        <v>184</v>
      </c>
      <c r="BP153">
        <f t="shared" si="120"/>
        <v>153</v>
      </c>
      <c r="BQ153">
        <f t="shared" si="120"/>
        <v>123</v>
      </c>
      <c r="BR153">
        <f t="shared" si="120"/>
        <v>92</v>
      </c>
      <c r="BS153">
        <f t="shared" si="120"/>
        <v>62</v>
      </c>
      <c r="BT153">
        <f t="shared" si="120"/>
        <v>31</v>
      </c>
    </row>
    <row r="154" spans="1:72" ht="12.95" customHeight="1" x14ac:dyDescent="0.2">
      <c r="A154">
        <f t="shared" si="92"/>
        <v>2026</v>
      </c>
      <c r="B154">
        <f t="shared" si="110"/>
        <v>3</v>
      </c>
      <c r="C154">
        <f t="shared" si="111"/>
        <v>1</v>
      </c>
      <c r="D154" s="11">
        <f>prod!A151</f>
        <v>46082</v>
      </c>
      <c r="E154" s="11">
        <f t="shared" si="112"/>
        <v>46446</v>
      </c>
      <c r="F154" s="10" t="str">
        <f>prod!B151</f>
        <v>דירות</v>
      </c>
      <c r="G154" s="10" t="str">
        <f>prod!C151</f>
        <v xml:space="preserve">דירות </v>
      </c>
      <c r="H154" s="10">
        <f>prod!D151</f>
        <v>423240</v>
      </c>
      <c r="I154" s="10">
        <f>SUMIFS(info!C:C,info!$A:$A,data!$A154,info!$B:$B,data!$G154)</f>
        <v>0.21</v>
      </c>
      <c r="J154" s="10">
        <f>SUMIFS(info!D:D,info!$A:$A,data!$A154,info!$B:$B,data!$G154)</f>
        <v>0.85</v>
      </c>
      <c r="K154" s="10">
        <f>SUMIFS(info!E:E,info!$A:$A,data!$A154,info!$B:$B,data!$G154)</f>
        <v>0.24340000000000001</v>
      </c>
      <c r="L154" s="10">
        <f>SUMIFS(info!F:F,info!$A:$A,data!$A154,info!$B:$B,data!$G154)</f>
        <v>0.8</v>
      </c>
      <c r="M154" s="10">
        <f>IF(SUMIFS(info!$C$25:$C$27,info!$A$25:$A$27,data!A154,info!$B$25:$B$27,data!F154)&lt;=0,1,SUMIFS(info!$C$25:$C$27,info!$A$25:$A$27,data!A154,info!$B$25:$B$27,data!F154))*H154</f>
        <v>423240</v>
      </c>
      <c r="N154" s="10">
        <f t="shared" si="113"/>
        <v>359754</v>
      </c>
      <c r="O154" s="10">
        <f t="shared" si="114"/>
        <v>88880.4</v>
      </c>
      <c r="P154" s="10">
        <f t="shared" si="115"/>
        <v>87564.123600000006</v>
      </c>
      <c r="Q154" s="10">
        <f t="shared" si="116"/>
        <v>338592</v>
      </c>
      <c r="R154" s="10">
        <f t="shared" si="117"/>
        <v>287803.2</v>
      </c>
      <c r="S154" s="10">
        <f t="shared" si="118"/>
        <v>0</v>
      </c>
      <c r="T154" s="10">
        <f t="shared" si="118"/>
        <v>0</v>
      </c>
      <c r="U154" s="10">
        <f t="shared" si="118"/>
        <v>0</v>
      </c>
      <c r="V154" s="10">
        <f t="shared" si="118"/>
        <v>0</v>
      </c>
      <c r="W154" s="10">
        <f t="shared" si="118"/>
        <v>387293.58904109587</v>
      </c>
      <c r="X154" s="10">
        <f t="shared" si="118"/>
        <v>281773.47945205477</v>
      </c>
      <c r="Y154" s="10">
        <f t="shared" si="118"/>
        <v>175093.80821917808</v>
      </c>
      <c r="Z154" s="10">
        <f t="shared" si="118"/>
        <v>68414.136986301368</v>
      </c>
      <c r="AA154" s="10"/>
      <c r="AB154" s="10"/>
      <c r="AC154">
        <f t="shared" si="123"/>
        <v>0</v>
      </c>
      <c r="AD154">
        <f t="shared" si="123"/>
        <v>0</v>
      </c>
      <c r="AE154">
        <f t="shared" si="123"/>
        <v>0</v>
      </c>
      <c r="AF154">
        <f t="shared" si="123"/>
        <v>0</v>
      </c>
      <c r="AG154">
        <f t="shared" si="123"/>
        <v>0</v>
      </c>
      <c r="AH154">
        <f t="shared" si="123"/>
        <v>0</v>
      </c>
      <c r="AI154">
        <f t="shared" si="123"/>
        <v>0</v>
      </c>
      <c r="AJ154">
        <f t="shared" si="123"/>
        <v>0</v>
      </c>
      <c r="AK154">
        <f t="shared" si="123"/>
        <v>0</v>
      </c>
      <c r="AL154">
        <f t="shared" si="123"/>
        <v>0</v>
      </c>
      <c r="AM154">
        <f t="shared" si="123"/>
        <v>0</v>
      </c>
      <c r="AN154">
        <f t="shared" si="123"/>
        <v>365</v>
      </c>
      <c r="AO154">
        <f t="shared" si="123"/>
        <v>334</v>
      </c>
      <c r="AP154">
        <f t="shared" si="123"/>
        <v>304</v>
      </c>
      <c r="AQ154">
        <f t="shared" si="123"/>
        <v>273</v>
      </c>
      <c r="AR154">
        <f t="shared" si="123"/>
        <v>243</v>
      </c>
      <c r="AS154">
        <f t="shared" si="122"/>
        <v>212</v>
      </c>
      <c r="AT154">
        <f t="shared" si="122"/>
        <v>181</v>
      </c>
      <c r="AU154">
        <f t="shared" si="122"/>
        <v>151</v>
      </c>
      <c r="AV154">
        <f t="shared" si="122"/>
        <v>120</v>
      </c>
      <c r="AW154">
        <f t="shared" si="122"/>
        <v>90</v>
      </c>
      <c r="AX154">
        <f t="shared" si="122"/>
        <v>59</v>
      </c>
      <c r="AY154">
        <f t="shared" si="121"/>
        <v>0</v>
      </c>
      <c r="AZ154">
        <f t="shared" si="121"/>
        <v>0</v>
      </c>
      <c r="BA154">
        <f t="shared" si="121"/>
        <v>0</v>
      </c>
      <c r="BB154">
        <f t="shared" si="121"/>
        <v>0</v>
      </c>
      <c r="BC154">
        <f t="shared" si="121"/>
        <v>0</v>
      </c>
      <c r="BD154">
        <f t="shared" si="121"/>
        <v>0</v>
      </c>
      <c r="BE154">
        <f t="shared" si="121"/>
        <v>0</v>
      </c>
      <c r="BF154">
        <f t="shared" si="121"/>
        <v>0</v>
      </c>
      <c r="BG154">
        <f t="shared" si="121"/>
        <v>0</v>
      </c>
      <c r="BH154">
        <f t="shared" si="121"/>
        <v>0</v>
      </c>
      <c r="BI154">
        <f t="shared" si="120"/>
        <v>0</v>
      </c>
      <c r="BJ154">
        <f t="shared" si="120"/>
        <v>365</v>
      </c>
      <c r="BK154">
        <f t="shared" si="120"/>
        <v>334</v>
      </c>
      <c r="BL154">
        <f t="shared" si="120"/>
        <v>304</v>
      </c>
      <c r="BM154">
        <f t="shared" si="120"/>
        <v>273</v>
      </c>
      <c r="BN154">
        <f t="shared" si="120"/>
        <v>243</v>
      </c>
      <c r="BO154">
        <f t="shared" si="120"/>
        <v>212</v>
      </c>
      <c r="BP154">
        <f t="shared" si="120"/>
        <v>181</v>
      </c>
      <c r="BQ154">
        <f t="shared" si="120"/>
        <v>151</v>
      </c>
      <c r="BR154">
        <f t="shared" si="120"/>
        <v>120</v>
      </c>
      <c r="BS154">
        <f t="shared" si="120"/>
        <v>90</v>
      </c>
      <c r="BT154">
        <f t="shared" si="120"/>
        <v>59</v>
      </c>
    </row>
    <row r="155" spans="1:72" ht="12.95" customHeight="1" x14ac:dyDescent="0.2">
      <c r="A155">
        <f t="shared" si="92"/>
        <v>2026</v>
      </c>
      <c r="B155">
        <f t="shared" si="110"/>
        <v>4</v>
      </c>
      <c r="C155">
        <f t="shared" si="111"/>
        <v>2</v>
      </c>
      <c r="D155" s="11">
        <f>prod!A152</f>
        <v>46113</v>
      </c>
      <c r="E155" s="11">
        <f t="shared" si="112"/>
        <v>46477</v>
      </c>
      <c r="F155" s="10" t="str">
        <f>prod!B152</f>
        <v>דירות</v>
      </c>
      <c r="G155" s="10" t="str">
        <f>prod!C152</f>
        <v xml:space="preserve">דירות </v>
      </c>
      <c r="H155" s="10">
        <f>prod!D152</f>
        <v>500694</v>
      </c>
      <c r="I155" s="10">
        <f>SUMIFS(info!C:C,info!$A:$A,data!$A155,info!$B:$B,data!$G155)</f>
        <v>0.21</v>
      </c>
      <c r="J155" s="10">
        <f>SUMIFS(info!D:D,info!$A:$A,data!$A155,info!$B:$B,data!$G155)</f>
        <v>0.85</v>
      </c>
      <c r="K155" s="10">
        <f>SUMIFS(info!E:E,info!$A:$A,data!$A155,info!$B:$B,data!$G155)</f>
        <v>0.24340000000000001</v>
      </c>
      <c r="L155" s="10">
        <f>SUMIFS(info!F:F,info!$A:$A,data!$A155,info!$B:$B,data!$G155)</f>
        <v>0.8</v>
      </c>
      <c r="M155" s="10">
        <f>IF(SUMIFS(info!$C$25:$C$27,info!$A$25:$A$27,data!A155,info!$B$25:$B$27,data!F155)&lt;=0,1,SUMIFS(info!$C$25:$C$27,info!$A$25:$A$27,data!A155,info!$B$25:$B$27,data!F155))*H155</f>
        <v>500694</v>
      </c>
      <c r="N155" s="10">
        <f t="shared" si="113"/>
        <v>425589.89999999997</v>
      </c>
      <c r="O155" s="10">
        <f t="shared" si="114"/>
        <v>105145.73999999999</v>
      </c>
      <c r="P155" s="10">
        <f t="shared" si="115"/>
        <v>103588.58166</v>
      </c>
      <c r="Q155" s="10">
        <f t="shared" si="116"/>
        <v>400555.2</v>
      </c>
      <c r="R155" s="10">
        <f t="shared" si="117"/>
        <v>340471.92</v>
      </c>
      <c r="S155" s="10">
        <f t="shared" si="118"/>
        <v>0</v>
      </c>
      <c r="T155" s="10">
        <f t="shared" si="118"/>
        <v>0</v>
      </c>
      <c r="U155" s="10">
        <f t="shared" si="118"/>
        <v>0</v>
      </c>
      <c r="V155" s="10">
        <f t="shared" si="118"/>
        <v>0</v>
      </c>
      <c r="W155" s="10">
        <f t="shared" si="118"/>
        <v>0</v>
      </c>
      <c r="X155" s="10">
        <f t="shared" si="118"/>
        <v>375863.44109589042</v>
      </c>
      <c r="Y155" s="10">
        <f t="shared" si="118"/>
        <v>249661.11780821919</v>
      </c>
      <c r="Z155" s="10">
        <f t="shared" si="118"/>
        <v>123458.79452054795</v>
      </c>
      <c r="AA155" s="10"/>
      <c r="AB155" s="10"/>
      <c r="AC155">
        <f t="shared" si="123"/>
        <v>0</v>
      </c>
      <c r="AD155">
        <f t="shared" si="123"/>
        <v>0</v>
      </c>
      <c r="AE155">
        <f t="shared" si="123"/>
        <v>0</v>
      </c>
      <c r="AF155">
        <f t="shared" si="123"/>
        <v>0</v>
      </c>
      <c r="AG155">
        <f t="shared" si="123"/>
        <v>0</v>
      </c>
      <c r="AH155">
        <f t="shared" si="123"/>
        <v>0</v>
      </c>
      <c r="AI155">
        <f t="shared" si="123"/>
        <v>0</v>
      </c>
      <c r="AJ155">
        <f t="shared" si="123"/>
        <v>0</v>
      </c>
      <c r="AK155">
        <f t="shared" si="123"/>
        <v>0</v>
      </c>
      <c r="AL155">
        <f t="shared" si="123"/>
        <v>0</v>
      </c>
      <c r="AM155">
        <f t="shared" si="123"/>
        <v>0</v>
      </c>
      <c r="AN155">
        <f t="shared" si="123"/>
        <v>0</v>
      </c>
      <c r="AO155">
        <f t="shared" si="123"/>
        <v>365</v>
      </c>
      <c r="AP155">
        <f t="shared" si="123"/>
        <v>335</v>
      </c>
      <c r="AQ155">
        <f t="shared" si="123"/>
        <v>304</v>
      </c>
      <c r="AR155">
        <f t="shared" si="123"/>
        <v>274</v>
      </c>
      <c r="AS155">
        <f t="shared" si="122"/>
        <v>243</v>
      </c>
      <c r="AT155">
        <f t="shared" si="122"/>
        <v>212</v>
      </c>
      <c r="AU155">
        <f t="shared" si="122"/>
        <v>182</v>
      </c>
      <c r="AV155">
        <f t="shared" si="122"/>
        <v>151</v>
      </c>
      <c r="AW155">
        <f t="shared" si="122"/>
        <v>121</v>
      </c>
      <c r="AX155">
        <f t="shared" si="122"/>
        <v>90</v>
      </c>
      <c r="AY155">
        <f t="shared" si="121"/>
        <v>0</v>
      </c>
      <c r="AZ155">
        <f t="shared" si="121"/>
        <v>0</v>
      </c>
      <c r="BA155">
        <f t="shared" si="121"/>
        <v>0</v>
      </c>
      <c r="BB155">
        <f t="shared" si="121"/>
        <v>0</v>
      </c>
      <c r="BC155">
        <f t="shared" si="121"/>
        <v>0</v>
      </c>
      <c r="BD155">
        <f t="shared" si="121"/>
        <v>0</v>
      </c>
      <c r="BE155">
        <f t="shared" si="121"/>
        <v>0</v>
      </c>
      <c r="BF155">
        <f t="shared" si="121"/>
        <v>0</v>
      </c>
      <c r="BG155">
        <f t="shared" si="121"/>
        <v>0</v>
      </c>
      <c r="BH155">
        <f t="shared" si="121"/>
        <v>0</v>
      </c>
      <c r="BI155">
        <f t="shared" si="120"/>
        <v>0</v>
      </c>
      <c r="BJ155">
        <f t="shared" si="120"/>
        <v>0</v>
      </c>
      <c r="BK155">
        <f t="shared" si="120"/>
        <v>365</v>
      </c>
      <c r="BL155">
        <f t="shared" si="120"/>
        <v>335</v>
      </c>
      <c r="BM155">
        <f t="shared" si="120"/>
        <v>304</v>
      </c>
      <c r="BN155">
        <f t="shared" si="120"/>
        <v>274</v>
      </c>
      <c r="BO155">
        <f t="shared" si="120"/>
        <v>243</v>
      </c>
      <c r="BP155">
        <f t="shared" si="120"/>
        <v>212</v>
      </c>
      <c r="BQ155">
        <f t="shared" si="120"/>
        <v>182</v>
      </c>
      <c r="BR155">
        <f t="shared" si="120"/>
        <v>151</v>
      </c>
      <c r="BS155">
        <f t="shared" si="120"/>
        <v>121</v>
      </c>
      <c r="BT155">
        <f t="shared" si="120"/>
        <v>90</v>
      </c>
    </row>
    <row r="156" spans="1:72" ht="12.95" customHeight="1" x14ac:dyDescent="0.2">
      <c r="A156">
        <f t="shared" si="92"/>
        <v>2026</v>
      </c>
      <c r="B156">
        <f t="shared" si="110"/>
        <v>5</v>
      </c>
      <c r="C156">
        <f t="shared" si="111"/>
        <v>2</v>
      </c>
      <c r="D156" s="11">
        <f>prod!A153</f>
        <v>46143</v>
      </c>
      <c r="E156" s="11">
        <f t="shared" si="112"/>
        <v>46507</v>
      </c>
      <c r="F156" s="10" t="str">
        <f>prod!B153</f>
        <v>דירות</v>
      </c>
      <c r="G156" s="10" t="str">
        <f>prod!C153</f>
        <v xml:space="preserve">דירות </v>
      </c>
      <c r="H156" s="10">
        <f>prod!D153</f>
        <v>581983</v>
      </c>
      <c r="I156" s="10">
        <f>SUMIFS(info!C:C,info!$A:$A,data!$A156,info!$B:$B,data!$G156)</f>
        <v>0.21</v>
      </c>
      <c r="J156" s="10">
        <f>SUMIFS(info!D:D,info!$A:$A,data!$A156,info!$B:$B,data!$G156)</f>
        <v>0.85</v>
      </c>
      <c r="K156" s="10">
        <f>SUMIFS(info!E:E,info!$A:$A,data!$A156,info!$B:$B,data!$G156)</f>
        <v>0.24340000000000001</v>
      </c>
      <c r="L156" s="10">
        <f>SUMIFS(info!F:F,info!$A:$A,data!$A156,info!$B:$B,data!$G156)</f>
        <v>0.8</v>
      </c>
      <c r="M156" s="10">
        <f>IF(SUMIFS(info!$C$25:$C$27,info!$A$25:$A$27,data!A156,info!$B$25:$B$27,data!F156)&lt;=0,1,SUMIFS(info!$C$25:$C$27,info!$A$25:$A$27,data!A156,info!$B$25:$B$27,data!F156))*H156</f>
        <v>581983</v>
      </c>
      <c r="N156" s="10">
        <f t="shared" si="113"/>
        <v>494685.55</v>
      </c>
      <c r="O156" s="10">
        <f t="shared" si="114"/>
        <v>122216.43</v>
      </c>
      <c r="P156" s="10">
        <f t="shared" si="115"/>
        <v>120406.46287</v>
      </c>
      <c r="Q156" s="10">
        <f t="shared" si="116"/>
        <v>465586.4</v>
      </c>
      <c r="R156" s="10">
        <f t="shared" si="117"/>
        <v>395748.44</v>
      </c>
      <c r="S156" s="10">
        <f t="shared" si="118"/>
        <v>0</v>
      </c>
      <c r="T156" s="10">
        <f t="shared" si="118"/>
        <v>0</v>
      </c>
      <c r="U156" s="10">
        <f t="shared" si="118"/>
        <v>0</v>
      </c>
      <c r="V156" s="10">
        <f t="shared" si="118"/>
        <v>0</v>
      </c>
      <c r="W156" s="10">
        <f t="shared" si="118"/>
        <v>0</v>
      </c>
      <c r="X156" s="10">
        <f t="shared" si="118"/>
        <v>484720.08767123288</v>
      </c>
      <c r="Y156" s="10">
        <f t="shared" si="118"/>
        <v>338028.48219178081</v>
      </c>
      <c r="Z156" s="10">
        <f t="shared" si="118"/>
        <v>191336.87671232875</v>
      </c>
      <c r="AA156" s="10"/>
      <c r="AB156" s="10"/>
      <c r="AC156">
        <f t="shared" si="123"/>
        <v>0</v>
      </c>
      <c r="AD156">
        <f t="shared" si="123"/>
        <v>0</v>
      </c>
      <c r="AE156">
        <f t="shared" si="123"/>
        <v>0</v>
      </c>
      <c r="AF156">
        <f t="shared" si="123"/>
        <v>0</v>
      </c>
      <c r="AG156">
        <f t="shared" si="123"/>
        <v>0</v>
      </c>
      <c r="AH156">
        <f t="shared" si="123"/>
        <v>0</v>
      </c>
      <c r="AI156">
        <f t="shared" si="123"/>
        <v>0</v>
      </c>
      <c r="AJ156">
        <f t="shared" si="123"/>
        <v>0</v>
      </c>
      <c r="AK156">
        <f t="shared" si="123"/>
        <v>0</v>
      </c>
      <c r="AL156">
        <f t="shared" si="123"/>
        <v>0</v>
      </c>
      <c r="AM156">
        <f t="shared" si="123"/>
        <v>0</v>
      </c>
      <c r="AN156">
        <f t="shared" si="123"/>
        <v>0</v>
      </c>
      <c r="AO156">
        <f t="shared" si="123"/>
        <v>0</v>
      </c>
      <c r="AP156">
        <f t="shared" si="123"/>
        <v>365</v>
      </c>
      <c r="AQ156">
        <f t="shared" si="123"/>
        <v>334</v>
      </c>
      <c r="AR156">
        <f t="shared" si="123"/>
        <v>304</v>
      </c>
      <c r="AS156">
        <f t="shared" si="122"/>
        <v>273</v>
      </c>
      <c r="AT156">
        <f t="shared" si="122"/>
        <v>242</v>
      </c>
      <c r="AU156">
        <f t="shared" si="122"/>
        <v>212</v>
      </c>
      <c r="AV156">
        <f t="shared" si="122"/>
        <v>181</v>
      </c>
      <c r="AW156">
        <f t="shared" si="122"/>
        <v>151</v>
      </c>
      <c r="AX156">
        <f t="shared" si="122"/>
        <v>120</v>
      </c>
      <c r="AY156">
        <f t="shared" si="121"/>
        <v>0</v>
      </c>
      <c r="AZ156">
        <f t="shared" si="121"/>
        <v>0</v>
      </c>
      <c r="BA156">
        <f t="shared" si="121"/>
        <v>0</v>
      </c>
      <c r="BB156">
        <f t="shared" si="121"/>
        <v>0</v>
      </c>
      <c r="BC156">
        <f t="shared" si="121"/>
        <v>0</v>
      </c>
      <c r="BD156">
        <f t="shared" si="121"/>
        <v>0</v>
      </c>
      <c r="BE156">
        <f t="shared" si="121"/>
        <v>0</v>
      </c>
      <c r="BF156">
        <f t="shared" si="121"/>
        <v>0</v>
      </c>
      <c r="BG156">
        <f t="shared" si="121"/>
        <v>0</v>
      </c>
      <c r="BH156">
        <f t="shared" si="121"/>
        <v>0</v>
      </c>
      <c r="BI156">
        <f t="shared" si="120"/>
        <v>0</v>
      </c>
      <c r="BJ156">
        <f t="shared" si="120"/>
        <v>0</v>
      </c>
      <c r="BK156">
        <f t="shared" si="120"/>
        <v>0</v>
      </c>
      <c r="BL156">
        <f t="shared" si="120"/>
        <v>365</v>
      </c>
      <c r="BM156">
        <f t="shared" si="120"/>
        <v>334</v>
      </c>
      <c r="BN156">
        <f t="shared" si="120"/>
        <v>304</v>
      </c>
      <c r="BO156">
        <f t="shared" si="120"/>
        <v>273</v>
      </c>
      <c r="BP156">
        <f t="shared" si="120"/>
        <v>242</v>
      </c>
      <c r="BQ156">
        <f t="shared" si="120"/>
        <v>212</v>
      </c>
      <c r="BR156">
        <f t="shared" si="120"/>
        <v>181</v>
      </c>
      <c r="BS156">
        <f t="shared" si="120"/>
        <v>151</v>
      </c>
      <c r="BT156">
        <f t="shared" si="120"/>
        <v>120</v>
      </c>
    </row>
    <row r="157" spans="1:72" ht="12.95" customHeight="1" x14ac:dyDescent="0.2">
      <c r="A157">
        <f t="shared" si="92"/>
        <v>2026</v>
      </c>
      <c r="B157">
        <f t="shared" si="110"/>
        <v>6</v>
      </c>
      <c r="C157">
        <f t="shared" si="111"/>
        <v>2</v>
      </c>
      <c r="D157" s="11">
        <f>prod!A154</f>
        <v>46174</v>
      </c>
      <c r="E157" s="11">
        <f t="shared" si="112"/>
        <v>46538</v>
      </c>
      <c r="F157" s="10" t="str">
        <f>prod!B154</f>
        <v>דירות</v>
      </c>
      <c r="G157" s="10" t="str">
        <f>prod!C154</f>
        <v xml:space="preserve">דירות </v>
      </c>
      <c r="H157" s="10">
        <f>prod!D154</f>
        <v>792843</v>
      </c>
      <c r="I157" s="10">
        <f>SUMIFS(info!C:C,info!$A:$A,data!$A157,info!$B:$B,data!$G157)</f>
        <v>0.21</v>
      </c>
      <c r="J157" s="10">
        <f>SUMIFS(info!D:D,info!$A:$A,data!$A157,info!$B:$B,data!$G157)</f>
        <v>0.85</v>
      </c>
      <c r="K157" s="10">
        <f>SUMIFS(info!E:E,info!$A:$A,data!$A157,info!$B:$B,data!$G157)</f>
        <v>0.24340000000000001</v>
      </c>
      <c r="L157" s="10">
        <f>SUMIFS(info!F:F,info!$A:$A,data!$A157,info!$B:$B,data!$G157)</f>
        <v>0.8</v>
      </c>
      <c r="M157" s="10">
        <f>IF(SUMIFS(info!$C$25:$C$27,info!$A$25:$A$27,data!A157,info!$B$25:$B$27,data!F157)&lt;=0,1,SUMIFS(info!$C$25:$C$27,info!$A$25:$A$27,data!A157,info!$B$25:$B$27,data!F157))*H157</f>
        <v>792843</v>
      </c>
      <c r="N157" s="10">
        <f t="shared" si="113"/>
        <v>673916.54999999993</v>
      </c>
      <c r="O157" s="10">
        <f t="shared" si="114"/>
        <v>166497.03</v>
      </c>
      <c r="P157" s="10">
        <f t="shared" si="115"/>
        <v>164031.28826999999</v>
      </c>
      <c r="Q157" s="10">
        <f t="shared" si="116"/>
        <v>634274.4</v>
      </c>
      <c r="R157" s="10">
        <f t="shared" si="117"/>
        <v>539133.24</v>
      </c>
      <c r="S157" s="10">
        <f t="shared" si="118"/>
        <v>0</v>
      </c>
      <c r="T157" s="10">
        <f t="shared" si="118"/>
        <v>0</v>
      </c>
      <c r="U157" s="10">
        <f t="shared" si="118"/>
        <v>0</v>
      </c>
      <c r="V157" s="10">
        <f t="shared" si="118"/>
        <v>0</v>
      </c>
      <c r="W157" s="10">
        <f t="shared" si="118"/>
        <v>0</v>
      </c>
      <c r="X157" s="10">
        <f t="shared" si="118"/>
        <v>727677.82191780827</v>
      </c>
      <c r="Y157" s="10">
        <f t="shared" si="118"/>
        <v>527837.94246575341</v>
      </c>
      <c r="Z157" s="10">
        <f t="shared" si="118"/>
        <v>327998.06301369861</v>
      </c>
      <c r="AA157" s="10"/>
      <c r="AB157" s="10"/>
      <c r="AC157">
        <f t="shared" si="123"/>
        <v>0</v>
      </c>
      <c r="AD157">
        <f t="shared" si="123"/>
        <v>0</v>
      </c>
      <c r="AE157">
        <f t="shared" si="123"/>
        <v>0</v>
      </c>
      <c r="AF157">
        <f t="shared" si="123"/>
        <v>0</v>
      </c>
      <c r="AG157">
        <f t="shared" si="123"/>
        <v>0</v>
      </c>
      <c r="AH157">
        <f t="shared" si="123"/>
        <v>0</v>
      </c>
      <c r="AI157">
        <f t="shared" si="123"/>
        <v>0</v>
      </c>
      <c r="AJ157">
        <f t="shared" si="123"/>
        <v>0</v>
      </c>
      <c r="AK157">
        <f t="shared" si="123"/>
        <v>0</v>
      </c>
      <c r="AL157">
        <f t="shared" si="123"/>
        <v>0</v>
      </c>
      <c r="AM157">
        <f t="shared" si="123"/>
        <v>0</v>
      </c>
      <c r="AN157">
        <f t="shared" si="123"/>
        <v>0</v>
      </c>
      <c r="AO157">
        <f t="shared" si="123"/>
        <v>0</v>
      </c>
      <c r="AP157">
        <f t="shared" si="123"/>
        <v>0</v>
      </c>
      <c r="AQ157">
        <f t="shared" si="123"/>
        <v>365</v>
      </c>
      <c r="AR157">
        <f t="shared" si="123"/>
        <v>335</v>
      </c>
      <c r="AS157">
        <f t="shared" si="122"/>
        <v>304</v>
      </c>
      <c r="AT157">
        <f t="shared" si="122"/>
        <v>273</v>
      </c>
      <c r="AU157">
        <f t="shared" si="122"/>
        <v>243</v>
      </c>
      <c r="AV157">
        <f t="shared" si="122"/>
        <v>212</v>
      </c>
      <c r="AW157">
        <f t="shared" si="122"/>
        <v>182</v>
      </c>
      <c r="AX157">
        <f t="shared" si="122"/>
        <v>151</v>
      </c>
      <c r="AY157">
        <f t="shared" si="121"/>
        <v>0</v>
      </c>
      <c r="AZ157">
        <f t="shared" si="121"/>
        <v>0</v>
      </c>
      <c r="BA157">
        <f t="shared" si="121"/>
        <v>0</v>
      </c>
      <c r="BB157">
        <f t="shared" si="121"/>
        <v>0</v>
      </c>
      <c r="BC157">
        <f t="shared" si="121"/>
        <v>0</v>
      </c>
      <c r="BD157">
        <f t="shared" si="121"/>
        <v>0</v>
      </c>
      <c r="BE157">
        <f t="shared" si="121"/>
        <v>0</v>
      </c>
      <c r="BF157">
        <f t="shared" si="121"/>
        <v>0</v>
      </c>
      <c r="BG157">
        <f t="shared" si="121"/>
        <v>0</v>
      </c>
      <c r="BH157">
        <f t="shared" si="121"/>
        <v>0</v>
      </c>
      <c r="BI157">
        <f t="shared" si="120"/>
        <v>0</v>
      </c>
      <c r="BJ157">
        <f t="shared" si="120"/>
        <v>0</v>
      </c>
      <c r="BK157">
        <f t="shared" si="120"/>
        <v>0</v>
      </c>
      <c r="BL157">
        <f t="shared" si="120"/>
        <v>0</v>
      </c>
      <c r="BM157">
        <f t="shared" si="120"/>
        <v>365</v>
      </c>
      <c r="BN157">
        <f t="shared" si="120"/>
        <v>335</v>
      </c>
      <c r="BO157">
        <f t="shared" si="120"/>
        <v>304</v>
      </c>
      <c r="BP157">
        <f t="shared" si="120"/>
        <v>273</v>
      </c>
      <c r="BQ157">
        <f t="shared" si="120"/>
        <v>243</v>
      </c>
      <c r="BR157">
        <f t="shared" si="120"/>
        <v>212</v>
      </c>
      <c r="BS157">
        <f t="shared" si="120"/>
        <v>182</v>
      </c>
      <c r="BT157">
        <f t="shared" si="120"/>
        <v>151</v>
      </c>
    </row>
    <row r="158" spans="1:72" ht="12.95" customHeight="1" x14ac:dyDescent="0.2">
      <c r="A158">
        <f t="shared" si="92"/>
        <v>2026</v>
      </c>
      <c r="B158">
        <f t="shared" si="110"/>
        <v>7</v>
      </c>
      <c r="C158">
        <f t="shared" si="111"/>
        <v>3</v>
      </c>
      <c r="D158" s="11">
        <f>prod!A155</f>
        <v>46204</v>
      </c>
      <c r="E158" s="11">
        <f t="shared" si="112"/>
        <v>46568</v>
      </c>
      <c r="F158" s="10" t="str">
        <f>prod!B155</f>
        <v>דירות</v>
      </c>
      <c r="G158" s="10" t="str">
        <f>prod!C155</f>
        <v xml:space="preserve">דירות </v>
      </c>
      <c r="H158" s="10">
        <f>prod!D155</f>
        <v>1089553</v>
      </c>
      <c r="I158" s="10">
        <f>SUMIFS(info!C:C,info!$A:$A,data!$A158,info!$B:$B,data!$G158)</f>
        <v>0.21</v>
      </c>
      <c r="J158" s="10">
        <f>SUMIFS(info!D:D,info!$A:$A,data!$A158,info!$B:$B,data!$G158)</f>
        <v>0.85</v>
      </c>
      <c r="K158" s="10">
        <f>SUMIFS(info!E:E,info!$A:$A,data!$A158,info!$B:$B,data!$G158)</f>
        <v>0.24340000000000001</v>
      </c>
      <c r="L158" s="10">
        <f>SUMIFS(info!F:F,info!$A:$A,data!$A158,info!$B:$B,data!$G158)</f>
        <v>0.8</v>
      </c>
      <c r="M158" s="10">
        <f>IF(SUMIFS(info!$C$25:$C$27,info!$A$25:$A$27,data!A158,info!$B$25:$B$27,data!F158)&lt;=0,1,SUMIFS(info!$C$25:$C$27,info!$A$25:$A$27,data!A158,info!$B$25:$B$27,data!F158))*H158</f>
        <v>1089553</v>
      </c>
      <c r="N158" s="10">
        <f t="shared" si="113"/>
        <v>926120.04999999993</v>
      </c>
      <c r="O158" s="10">
        <f t="shared" si="114"/>
        <v>228806.13</v>
      </c>
      <c r="P158" s="10">
        <f t="shared" si="115"/>
        <v>225417.62016999998</v>
      </c>
      <c r="Q158" s="10">
        <f t="shared" si="116"/>
        <v>871642.4</v>
      </c>
      <c r="R158" s="10">
        <f t="shared" si="117"/>
        <v>740896.04</v>
      </c>
      <c r="S158" s="10">
        <f t="shared" si="118"/>
        <v>0</v>
      </c>
      <c r="T158" s="10">
        <f t="shared" si="118"/>
        <v>0</v>
      </c>
      <c r="U158" s="10">
        <f t="shared" si="118"/>
        <v>0</v>
      </c>
      <c r="V158" s="10">
        <f t="shared" si="118"/>
        <v>0</v>
      </c>
      <c r="W158" s="10">
        <f t="shared" si="118"/>
        <v>0</v>
      </c>
      <c r="X158" s="10">
        <f t="shared" si="118"/>
        <v>0</v>
      </c>
      <c r="Y158" s="10">
        <f t="shared" si="118"/>
        <v>814925.94246575341</v>
      </c>
      <c r="Z158" s="10">
        <f t="shared" si="118"/>
        <v>540298.88493150682</v>
      </c>
      <c r="AA158" s="10"/>
      <c r="AB158" s="10"/>
      <c r="AC158">
        <f t="shared" si="123"/>
        <v>0</v>
      </c>
      <c r="AD158">
        <f t="shared" si="123"/>
        <v>0</v>
      </c>
      <c r="AE158">
        <f t="shared" si="123"/>
        <v>0</v>
      </c>
      <c r="AF158">
        <f t="shared" si="123"/>
        <v>0</v>
      </c>
      <c r="AG158">
        <f t="shared" si="123"/>
        <v>0</v>
      </c>
      <c r="AH158">
        <f t="shared" si="123"/>
        <v>0</v>
      </c>
      <c r="AI158">
        <f t="shared" si="123"/>
        <v>0</v>
      </c>
      <c r="AJ158">
        <f t="shared" si="123"/>
        <v>0</v>
      </c>
      <c r="AK158">
        <f t="shared" si="123"/>
        <v>0</v>
      </c>
      <c r="AL158">
        <f t="shared" si="123"/>
        <v>0</v>
      </c>
      <c r="AM158">
        <f t="shared" si="123"/>
        <v>0</v>
      </c>
      <c r="AN158">
        <f t="shared" si="123"/>
        <v>0</v>
      </c>
      <c r="AO158">
        <f t="shared" si="123"/>
        <v>0</v>
      </c>
      <c r="AP158">
        <f t="shared" si="123"/>
        <v>0</v>
      </c>
      <c r="AQ158">
        <f t="shared" si="123"/>
        <v>0</v>
      </c>
      <c r="AR158">
        <f t="shared" si="123"/>
        <v>365</v>
      </c>
      <c r="AS158">
        <f t="shared" si="122"/>
        <v>334</v>
      </c>
      <c r="AT158">
        <f t="shared" si="122"/>
        <v>303</v>
      </c>
      <c r="AU158">
        <f t="shared" si="122"/>
        <v>273</v>
      </c>
      <c r="AV158">
        <f t="shared" si="122"/>
        <v>242</v>
      </c>
      <c r="AW158">
        <f t="shared" si="122"/>
        <v>212</v>
      </c>
      <c r="AX158">
        <f t="shared" si="122"/>
        <v>181</v>
      </c>
      <c r="AY158">
        <f t="shared" si="121"/>
        <v>0</v>
      </c>
      <c r="AZ158">
        <f t="shared" si="121"/>
        <v>0</v>
      </c>
      <c r="BA158">
        <f t="shared" si="121"/>
        <v>0</v>
      </c>
      <c r="BB158">
        <f t="shared" si="121"/>
        <v>0</v>
      </c>
      <c r="BC158">
        <f t="shared" si="121"/>
        <v>0</v>
      </c>
      <c r="BD158">
        <f t="shared" si="121"/>
        <v>0</v>
      </c>
      <c r="BE158">
        <f t="shared" si="121"/>
        <v>0</v>
      </c>
      <c r="BF158">
        <f t="shared" si="121"/>
        <v>0</v>
      </c>
      <c r="BG158">
        <f t="shared" si="121"/>
        <v>0</v>
      </c>
      <c r="BH158">
        <f t="shared" si="121"/>
        <v>0</v>
      </c>
      <c r="BI158">
        <f t="shared" si="120"/>
        <v>0</v>
      </c>
      <c r="BJ158">
        <f t="shared" si="120"/>
        <v>0</v>
      </c>
      <c r="BK158">
        <f t="shared" si="120"/>
        <v>0</v>
      </c>
      <c r="BL158">
        <f t="shared" si="120"/>
        <v>0</v>
      </c>
      <c r="BM158">
        <f t="shared" si="120"/>
        <v>0</v>
      </c>
      <c r="BN158">
        <f t="shared" si="120"/>
        <v>365</v>
      </c>
      <c r="BO158">
        <f t="shared" si="120"/>
        <v>334</v>
      </c>
      <c r="BP158">
        <f t="shared" si="120"/>
        <v>303</v>
      </c>
      <c r="BQ158">
        <f t="shared" si="120"/>
        <v>273</v>
      </c>
      <c r="BR158">
        <f t="shared" si="120"/>
        <v>242</v>
      </c>
      <c r="BS158">
        <f t="shared" si="120"/>
        <v>212</v>
      </c>
      <c r="BT158">
        <f t="shared" si="120"/>
        <v>181</v>
      </c>
    </row>
    <row r="159" spans="1:72" ht="12.95" customHeight="1" x14ac:dyDescent="0.2">
      <c r="A159">
        <f t="shared" si="92"/>
        <v>2026</v>
      </c>
      <c r="B159">
        <f t="shared" si="110"/>
        <v>8</v>
      </c>
      <c r="C159">
        <f t="shared" si="111"/>
        <v>3</v>
      </c>
      <c r="D159" s="11">
        <f>prod!A156</f>
        <v>46235</v>
      </c>
      <c r="E159" s="11">
        <f t="shared" si="112"/>
        <v>46599</v>
      </c>
      <c r="F159" s="10" t="str">
        <f>prod!B156</f>
        <v>דירות</v>
      </c>
      <c r="G159" s="10" t="str">
        <f>prod!C156</f>
        <v xml:space="preserve">דירות </v>
      </c>
      <c r="H159" s="10">
        <f>prod!D156</f>
        <v>1182200</v>
      </c>
      <c r="I159" s="10">
        <f>SUMIFS(info!C:C,info!$A:$A,data!$A159,info!$B:$B,data!$G159)</f>
        <v>0.21</v>
      </c>
      <c r="J159" s="10">
        <f>SUMIFS(info!D:D,info!$A:$A,data!$A159,info!$B:$B,data!$G159)</f>
        <v>0.85</v>
      </c>
      <c r="K159" s="10">
        <f>SUMIFS(info!E:E,info!$A:$A,data!$A159,info!$B:$B,data!$G159)</f>
        <v>0.24340000000000001</v>
      </c>
      <c r="L159" s="10">
        <f>SUMIFS(info!F:F,info!$A:$A,data!$A159,info!$B:$B,data!$G159)</f>
        <v>0.8</v>
      </c>
      <c r="M159" s="10">
        <f>IF(SUMIFS(info!$C$25:$C$27,info!$A$25:$A$27,data!A159,info!$B$25:$B$27,data!F159)&lt;=0,1,SUMIFS(info!$C$25:$C$27,info!$A$25:$A$27,data!A159,info!$B$25:$B$27,data!F159))*H159</f>
        <v>1182200</v>
      </c>
      <c r="N159" s="10">
        <f t="shared" si="113"/>
        <v>1004870</v>
      </c>
      <c r="O159" s="10">
        <f t="shared" si="114"/>
        <v>248262</v>
      </c>
      <c r="P159" s="10">
        <f t="shared" si="115"/>
        <v>244585.35800000001</v>
      </c>
      <c r="Q159" s="10">
        <f t="shared" si="116"/>
        <v>945760</v>
      </c>
      <c r="R159" s="10">
        <f t="shared" si="117"/>
        <v>803896</v>
      </c>
      <c r="S159" s="10">
        <f t="shared" si="118"/>
        <v>0</v>
      </c>
      <c r="T159" s="10">
        <f t="shared" si="118"/>
        <v>0</v>
      </c>
      <c r="U159" s="10">
        <f t="shared" si="118"/>
        <v>0</v>
      </c>
      <c r="V159" s="10">
        <f t="shared" si="118"/>
        <v>0</v>
      </c>
      <c r="W159" s="10">
        <f t="shared" si="118"/>
        <v>0</v>
      </c>
      <c r="X159" s="10">
        <f t="shared" si="118"/>
        <v>0</v>
      </c>
      <c r="Y159" s="10">
        <f t="shared" si="118"/>
        <v>984626.84931506845</v>
      </c>
      <c r="Z159" s="10">
        <f t="shared" si="118"/>
        <v>686647.67123287672</v>
      </c>
      <c r="AA159" s="10"/>
      <c r="AB159" s="10"/>
      <c r="AC159">
        <f t="shared" si="123"/>
        <v>0</v>
      </c>
      <c r="AD159">
        <f t="shared" si="123"/>
        <v>0</v>
      </c>
      <c r="AE159">
        <f t="shared" si="123"/>
        <v>0</v>
      </c>
      <c r="AF159">
        <f t="shared" si="123"/>
        <v>0</v>
      </c>
      <c r="AG159">
        <f t="shared" si="123"/>
        <v>0</v>
      </c>
      <c r="AH159">
        <f t="shared" si="123"/>
        <v>0</v>
      </c>
      <c r="AI159">
        <f t="shared" si="123"/>
        <v>0</v>
      </c>
      <c r="AJ159">
        <f t="shared" si="123"/>
        <v>0</v>
      </c>
      <c r="AK159">
        <f t="shared" si="123"/>
        <v>0</v>
      </c>
      <c r="AL159">
        <f t="shared" si="123"/>
        <v>0</v>
      </c>
      <c r="AM159">
        <f t="shared" si="123"/>
        <v>0</v>
      </c>
      <c r="AN159">
        <f t="shared" si="123"/>
        <v>0</v>
      </c>
      <c r="AO159">
        <f t="shared" si="123"/>
        <v>0</v>
      </c>
      <c r="AP159">
        <f t="shared" si="123"/>
        <v>0</v>
      </c>
      <c r="AQ159">
        <f t="shared" si="123"/>
        <v>0</v>
      </c>
      <c r="AR159">
        <f t="shared" si="123"/>
        <v>0</v>
      </c>
      <c r="AS159">
        <f t="shared" si="122"/>
        <v>365</v>
      </c>
      <c r="AT159">
        <f t="shared" si="122"/>
        <v>334</v>
      </c>
      <c r="AU159">
        <f t="shared" si="122"/>
        <v>304</v>
      </c>
      <c r="AV159">
        <f t="shared" si="122"/>
        <v>273</v>
      </c>
      <c r="AW159">
        <f t="shared" si="122"/>
        <v>243</v>
      </c>
      <c r="AX159">
        <f t="shared" si="122"/>
        <v>212</v>
      </c>
      <c r="AY159">
        <f t="shared" si="121"/>
        <v>0</v>
      </c>
      <c r="AZ159">
        <f t="shared" si="121"/>
        <v>0</v>
      </c>
      <c r="BA159">
        <f t="shared" si="121"/>
        <v>0</v>
      </c>
      <c r="BB159">
        <f t="shared" si="121"/>
        <v>0</v>
      </c>
      <c r="BC159">
        <f t="shared" si="121"/>
        <v>0</v>
      </c>
      <c r="BD159">
        <f t="shared" si="121"/>
        <v>0</v>
      </c>
      <c r="BE159">
        <f t="shared" si="121"/>
        <v>0</v>
      </c>
      <c r="BF159">
        <f t="shared" si="121"/>
        <v>0</v>
      </c>
      <c r="BG159">
        <f t="shared" si="121"/>
        <v>0</v>
      </c>
      <c r="BH159">
        <f t="shared" si="121"/>
        <v>0</v>
      </c>
      <c r="BI159">
        <f t="shared" si="120"/>
        <v>0</v>
      </c>
      <c r="BJ159">
        <f t="shared" si="120"/>
        <v>0</v>
      </c>
      <c r="BK159">
        <f t="shared" si="120"/>
        <v>0</v>
      </c>
      <c r="BL159">
        <f t="shared" si="120"/>
        <v>0</v>
      </c>
      <c r="BM159">
        <f t="shared" si="120"/>
        <v>0</v>
      </c>
      <c r="BN159">
        <f t="shared" si="120"/>
        <v>0</v>
      </c>
      <c r="BO159">
        <f t="shared" si="120"/>
        <v>365</v>
      </c>
      <c r="BP159">
        <f t="shared" si="120"/>
        <v>334</v>
      </c>
      <c r="BQ159">
        <f t="shared" si="120"/>
        <v>304</v>
      </c>
      <c r="BR159">
        <f t="shared" si="120"/>
        <v>273</v>
      </c>
      <c r="BS159">
        <f t="shared" si="120"/>
        <v>243</v>
      </c>
      <c r="BT159">
        <f t="shared" si="120"/>
        <v>212</v>
      </c>
    </row>
    <row r="160" spans="1:72" ht="12.95" customHeight="1" x14ac:dyDescent="0.2">
      <c r="A160">
        <f t="shared" si="92"/>
        <v>2026</v>
      </c>
      <c r="B160">
        <f t="shared" si="110"/>
        <v>9</v>
      </c>
      <c r="C160">
        <f t="shared" si="111"/>
        <v>3</v>
      </c>
      <c r="D160" s="11">
        <f>prod!A157</f>
        <v>46266</v>
      </c>
      <c r="E160" s="11">
        <f t="shared" si="112"/>
        <v>46630</v>
      </c>
      <c r="F160" s="10" t="str">
        <f>prod!B157</f>
        <v>דירות</v>
      </c>
      <c r="G160" s="10" t="str">
        <f>prod!C157</f>
        <v xml:space="preserve">דירות </v>
      </c>
      <c r="H160" s="10">
        <f>prod!D157</f>
        <v>1297683</v>
      </c>
      <c r="I160" s="10">
        <f>SUMIFS(info!C:C,info!$A:$A,data!$A160,info!$B:$B,data!$G160)</f>
        <v>0.21</v>
      </c>
      <c r="J160" s="10">
        <f>SUMIFS(info!D:D,info!$A:$A,data!$A160,info!$B:$B,data!$G160)</f>
        <v>0.85</v>
      </c>
      <c r="K160" s="10">
        <f>SUMIFS(info!E:E,info!$A:$A,data!$A160,info!$B:$B,data!$G160)</f>
        <v>0.24340000000000001</v>
      </c>
      <c r="L160" s="10">
        <f>SUMIFS(info!F:F,info!$A:$A,data!$A160,info!$B:$B,data!$G160)</f>
        <v>0.8</v>
      </c>
      <c r="M160" s="10">
        <f>IF(SUMIFS(info!$C$25:$C$27,info!$A$25:$A$27,data!A160,info!$B$25:$B$27,data!F160)&lt;=0,1,SUMIFS(info!$C$25:$C$27,info!$A$25:$A$27,data!A160,info!$B$25:$B$27,data!F160))*H160</f>
        <v>1297683</v>
      </c>
      <c r="N160" s="10">
        <f t="shared" si="113"/>
        <v>1103030.55</v>
      </c>
      <c r="O160" s="10">
        <f t="shared" si="114"/>
        <v>272513.43</v>
      </c>
      <c r="P160" s="10">
        <f t="shared" si="115"/>
        <v>268477.63587</v>
      </c>
      <c r="Q160" s="10">
        <f t="shared" si="116"/>
        <v>1038146.4</v>
      </c>
      <c r="R160" s="10">
        <f t="shared" si="117"/>
        <v>882424.44</v>
      </c>
      <c r="S160" s="10">
        <f t="shared" si="118"/>
        <v>0</v>
      </c>
      <c r="T160" s="10">
        <f t="shared" si="118"/>
        <v>0</v>
      </c>
      <c r="U160" s="10">
        <f t="shared" si="118"/>
        <v>0</v>
      </c>
      <c r="V160" s="10">
        <f t="shared" si="118"/>
        <v>0</v>
      </c>
      <c r="W160" s="10">
        <f t="shared" si="118"/>
        <v>0</v>
      </c>
      <c r="X160" s="10">
        <f t="shared" si="118"/>
        <v>0</v>
      </c>
      <c r="Y160" s="10">
        <f t="shared" si="118"/>
        <v>1191024.1232876712</v>
      </c>
      <c r="Z160" s="10">
        <f t="shared" si="118"/>
        <v>863936.90136986296</v>
      </c>
      <c r="AA160" s="10"/>
      <c r="AB160" s="10"/>
      <c r="AC160">
        <f t="shared" si="123"/>
        <v>0</v>
      </c>
      <c r="AD160">
        <f t="shared" si="123"/>
        <v>0</v>
      </c>
      <c r="AE160">
        <f t="shared" si="123"/>
        <v>0</v>
      </c>
      <c r="AF160">
        <f t="shared" si="123"/>
        <v>0</v>
      </c>
      <c r="AG160">
        <f t="shared" si="123"/>
        <v>0</v>
      </c>
      <c r="AH160">
        <f t="shared" si="123"/>
        <v>0</v>
      </c>
      <c r="AI160">
        <f t="shared" si="123"/>
        <v>0</v>
      </c>
      <c r="AJ160">
        <f t="shared" si="123"/>
        <v>0</v>
      </c>
      <c r="AK160">
        <f t="shared" si="123"/>
        <v>0</v>
      </c>
      <c r="AL160">
        <f t="shared" si="123"/>
        <v>0</v>
      </c>
      <c r="AM160">
        <f t="shared" si="123"/>
        <v>0</v>
      </c>
      <c r="AN160">
        <f t="shared" si="123"/>
        <v>0</v>
      </c>
      <c r="AO160">
        <f t="shared" si="123"/>
        <v>0</v>
      </c>
      <c r="AP160">
        <f t="shared" si="123"/>
        <v>0</v>
      </c>
      <c r="AQ160">
        <f t="shared" si="123"/>
        <v>0</v>
      </c>
      <c r="AR160">
        <f t="shared" si="123"/>
        <v>0</v>
      </c>
      <c r="AS160">
        <f t="shared" si="122"/>
        <v>0</v>
      </c>
      <c r="AT160">
        <f t="shared" si="122"/>
        <v>365</v>
      </c>
      <c r="AU160">
        <f t="shared" si="122"/>
        <v>335</v>
      </c>
      <c r="AV160">
        <f t="shared" si="122"/>
        <v>304</v>
      </c>
      <c r="AW160">
        <f t="shared" si="122"/>
        <v>274</v>
      </c>
      <c r="AX160">
        <f t="shared" si="122"/>
        <v>243</v>
      </c>
      <c r="AY160">
        <f t="shared" si="121"/>
        <v>0</v>
      </c>
      <c r="AZ160">
        <f t="shared" si="121"/>
        <v>0</v>
      </c>
      <c r="BA160">
        <f t="shared" si="121"/>
        <v>0</v>
      </c>
      <c r="BB160">
        <f t="shared" si="121"/>
        <v>0</v>
      </c>
      <c r="BC160">
        <f t="shared" si="121"/>
        <v>0</v>
      </c>
      <c r="BD160">
        <f t="shared" si="121"/>
        <v>0</v>
      </c>
      <c r="BE160">
        <f t="shared" si="121"/>
        <v>0</v>
      </c>
      <c r="BF160">
        <f t="shared" si="121"/>
        <v>0</v>
      </c>
      <c r="BG160">
        <f t="shared" si="121"/>
        <v>0</v>
      </c>
      <c r="BH160">
        <f t="shared" si="121"/>
        <v>0</v>
      </c>
      <c r="BI160">
        <f t="shared" si="120"/>
        <v>0</v>
      </c>
      <c r="BJ160">
        <f t="shared" si="120"/>
        <v>0</v>
      </c>
      <c r="BK160">
        <f t="shared" si="120"/>
        <v>0</v>
      </c>
      <c r="BL160">
        <f t="shared" si="120"/>
        <v>0</v>
      </c>
      <c r="BM160">
        <f t="shared" si="120"/>
        <v>0</v>
      </c>
      <c r="BN160">
        <f t="shared" si="120"/>
        <v>0</v>
      </c>
      <c r="BO160">
        <f t="shared" si="120"/>
        <v>0</v>
      </c>
      <c r="BP160">
        <f t="shared" si="120"/>
        <v>365</v>
      </c>
      <c r="BQ160">
        <f t="shared" si="120"/>
        <v>335</v>
      </c>
      <c r="BR160">
        <f t="shared" si="120"/>
        <v>304</v>
      </c>
      <c r="BS160">
        <f t="shared" si="120"/>
        <v>274</v>
      </c>
      <c r="BT160">
        <f t="shared" si="120"/>
        <v>243</v>
      </c>
    </row>
    <row r="161" spans="1:72" ht="12.95" customHeight="1" x14ac:dyDescent="0.2">
      <c r="A161">
        <f t="shared" si="92"/>
        <v>2026</v>
      </c>
      <c r="B161">
        <f t="shared" si="110"/>
        <v>10</v>
      </c>
      <c r="C161">
        <f t="shared" si="111"/>
        <v>4</v>
      </c>
      <c r="D161" s="11">
        <f>prod!A158</f>
        <v>46296</v>
      </c>
      <c r="E161" s="11">
        <f t="shared" si="112"/>
        <v>46660</v>
      </c>
      <c r="F161" s="10" t="str">
        <f>prod!B158</f>
        <v>דירות</v>
      </c>
      <c r="G161" s="10" t="str">
        <f>prod!C158</f>
        <v xml:space="preserve">דירות </v>
      </c>
      <c r="H161" s="10">
        <f>prod!D158</f>
        <v>1245175</v>
      </c>
      <c r="I161" s="10">
        <f>SUMIFS(info!C:C,info!$A:$A,data!$A161,info!$B:$B,data!$G161)</f>
        <v>0.21</v>
      </c>
      <c r="J161" s="10">
        <f>SUMIFS(info!D:D,info!$A:$A,data!$A161,info!$B:$B,data!$G161)</f>
        <v>0.85</v>
      </c>
      <c r="K161" s="10">
        <f>SUMIFS(info!E:E,info!$A:$A,data!$A161,info!$B:$B,data!$G161)</f>
        <v>0.24340000000000001</v>
      </c>
      <c r="L161" s="10">
        <f>SUMIFS(info!F:F,info!$A:$A,data!$A161,info!$B:$B,data!$G161)</f>
        <v>0.8</v>
      </c>
      <c r="M161" s="10">
        <f>IF(SUMIFS(info!$C$25:$C$27,info!$A$25:$A$27,data!A161,info!$B$25:$B$27,data!F161)&lt;=0,1,SUMIFS(info!$C$25:$C$27,info!$A$25:$A$27,data!A161,info!$B$25:$B$27,data!F161))*H161</f>
        <v>1245175</v>
      </c>
      <c r="N161" s="10">
        <f t="shared" si="113"/>
        <v>1058398.75</v>
      </c>
      <c r="O161" s="10">
        <f t="shared" si="114"/>
        <v>261486.75</v>
      </c>
      <c r="P161" s="10">
        <f t="shared" si="115"/>
        <v>257614.25575000001</v>
      </c>
      <c r="Q161" s="10">
        <f t="shared" si="116"/>
        <v>996140</v>
      </c>
      <c r="R161" s="10">
        <f t="shared" si="117"/>
        <v>846719</v>
      </c>
      <c r="S161" s="10">
        <f t="shared" si="118"/>
        <v>0</v>
      </c>
      <c r="T161" s="10">
        <f t="shared" si="118"/>
        <v>0</v>
      </c>
      <c r="U161" s="10">
        <f t="shared" si="118"/>
        <v>0</v>
      </c>
      <c r="V161" s="10">
        <f t="shared" si="118"/>
        <v>0</v>
      </c>
      <c r="W161" s="10">
        <f t="shared" si="118"/>
        <v>0</v>
      </c>
      <c r="X161" s="10">
        <f t="shared" si="118"/>
        <v>0</v>
      </c>
      <c r="Y161" s="10">
        <f t="shared" si="118"/>
        <v>0</v>
      </c>
      <c r="Z161" s="10">
        <f t="shared" si="118"/>
        <v>931322.67123287672</v>
      </c>
      <c r="AA161" s="10"/>
      <c r="AB161" s="10"/>
      <c r="AC161">
        <f t="shared" si="123"/>
        <v>0</v>
      </c>
      <c r="AD161">
        <f t="shared" si="123"/>
        <v>0</v>
      </c>
      <c r="AE161">
        <f t="shared" si="123"/>
        <v>0</v>
      </c>
      <c r="AF161">
        <f t="shared" si="123"/>
        <v>0</v>
      </c>
      <c r="AG161">
        <f t="shared" si="123"/>
        <v>0</v>
      </c>
      <c r="AH161">
        <f t="shared" si="123"/>
        <v>0</v>
      </c>
      <c r="AI161">
        <f t="shared" si="123"/>
        <v>0</v>
      </c>
      <c r="AJ161">
        <f t="shared" si="123"/>
        <v>0</v>
      </c>
      <c r="AK161">
        <f t="shared" si="123"/>
        <v>0</v>
      </c>
      <c r="AL161">
        <f t="shared" si="123"/>
        <v>0</v>
      </c>
      <c r="AM161">
        <f t="shared" si="123"/>
        <v>0</v>
      </c>
      <c r="AN161">
        <f t="shared" si="123"/>
        <v>0</v>
      </c>
      <c r="AO161">
        <f t="shared" si="123"/>
        <v>0</v>
      </c>
      <c r="AP161">
        <f t="shared" si="123"/>
        <v>0</v>
      </c>
      <c r="AQ161">
        <f t="shared" si="123"/>
        <v>0</v>
      </c>
      <c r="AR161">
        <f t="shared" si="123"/>
        <v>0</v>
      </c>
      <c r="AS161">
        <f t="shared" si="122"/>
        <v>0</v>
      </c>
      <c r="AT161">
        <f t="shared" si="122"/>
        <v>0</v>
      </c>
      <c r="AU161">
        <f t="shared" si="122"/>
        <v>365</v>
      </c>
      <c r="AV161">
        <f t="shared" si="122"/>
        <v>334</v>
      </c>
      <c r="AW161">
        <f t="shared" si="122"/>
        <v>304</v>
      </c>
      <c r="AX161">
        <f t="shared" si="122"/>
        <v>273</v>
      </c>
      <c r="AY161">
        <f t="shared" si="121"/>
        <v>0</v>
      </c>
      <c r="AZ161">
        <f t="shared" si="121"/>
        <v>0</v>
      </c>
      <c r="BA161">
        <f t="shared" si="121"/>
        <v>0</v>
      </c>
      <c r="BB161">
        <f t="shared" si="121"/>
        <v>0</v>
      </c>
      <c r="BC161">
        <f t="shared" si="121"/>
        <v>0</v>
      </c>
      <c r="BD161">
        <f t="shared" si="121"/>
        <v>0</v>
      </c>
      <c r="BE161">
        <f t="shared" si="121"/>
        <v>0</v>
      </c>
      <c r="BF161">
        <f t="shared" si="121"/>
        <v>0</v>
      </c>
      <c r="BG161">
        <f t="shared" si="121"/>
        <v>0</v>
      </c>
      <c r="BH161">
        <f t="shared" si="121"/>
        <v>0</v>
      </c>
      <c r="BI161">
        <f t="shared" si="120"/>
        <v>0</v>
      </c>
      <c r="BJ161">
        <f t="shared" si="120"/>
        <v>0</v>
      </c>
      <c r="BK161">
        <f t="shared" si="120"/>
        <v>0</v>
      </c>
      <c r="BL161">
        <f t="shared" si="120"/>
        <v>0</v>
      </c>
      <c r="BM161">
        <f t="shared" si="120"/>
        <v>0</v>
      </c>
      <c r="BN161">
        <f t="shared" si="120"/>
        <v>0</v>
      </c>
      <c r="BO161">
        <f t="shared" si="120"/>
        <v>0</v>
      </c>
      <c r="BP161">
        <f t="shared" si="120"/>
        <v>0</v>
      </c>
      <c r="BQ161">
        <f t="shared" si="120"/>
        <v>365</v>
      </c>
      <c r="BR161">
        <f t="shared" si="120"/>
        <v>334</v>
      </c>
      <c r="BS161">
        <f t="shared" si="120"/>
        <v>304</v>
      </c>
      <c r="BT161">
        <f t="shared" si="120"/>
        <v>273</v>
      </c>
    </row>
    <row r="162" spans="1:72" ht="12.95" customHeight="1" x14ac:dyDescent="0.2">
      <c r="A162">
        <f t="shared" si="92"/>
        <v>2026</v>
      </c>
      <c r="B162">
        <f t="shared" si="110"/>
        <v>11</v>
      </c>
      <c r="C162">
        <f t="shared" si="111"/>
        <v>4</v>
      </c>
      <c r="D162" s="11">
        <f>prod!A159</f>
        <v>46327</v>
      </c>
      <c r="E162" s="11">
        <f t="shared" si="112"/>
        <v>46691</v>
      </c>
      <c r="F162" s="10" t="str">
        <f>prod!B159</f>
        <v>דירות</v>
      </c>
      <c r="G162" s="10" t="str">
        <f>prod!C159</f>
        <v xml:space="preserve">דירות </v>
      </c>
      <c r="H162" s="10">
        <f>prod!D159</f>
        <v>1181178</v>
      </c>
      <c r="I162" s="10">
        <f>SUMIFS(info!C:C,info!$A:$A,data!$A162,info!$B:$B,data!$G162)</f>
        <v>0.21</v>
      </c>
      <c r="J162" s="10">
        <f>SUMIFS(info!D:D,info!$A:$A,data!$A162,info!$B:$B,data!$G162)</f>
        <v>0.85</v>
      </c>
      <c r="K162" s="10">
        <f>SUMIFS(info!E:E,info!$A:$A,data!$A162,info!$B:$B,data!$G162)</f>
        <v>0.24340000000000001</v>
      </c>
      <c r="L162" s="10">
        <f>SUMIFS(info!F:F,info!$A:$A,data!$A162,info!$B:$B,data!$G162)</f>
        <v>0.8</v>
      </c>
      <c r="M162" s="10">
        <f>IF(SUMIFS(info!$C$25:$C$27,info!$A$25:$A$27,data!A162,info!$B$25:$B$27,data!F162)&lt;=0,1,SUMIFS(info!$C$25:$C$27,info!$A$25:$A$27,data!A162,info!$B$25:$B$27,data!F162))*H162</f>
        <v>1181178</v>
      </c>
      <c r="N162" s="10">
        <f t="shared" si="113"/>
        <v>1004001.2999999999</v>
      </c>
      <c r="O162" s="10">
        <f t="shared" si="114"/>
        <v>248047.38</v>
      </c>
      <c r="P162" s="10">
        <f t="shared" si="115"/>
        <v>244373.91641999999</v>
      </c>
      <c r="Q162" s="10">
        <f t="shared" si="116"/>
        <v>944942.4</v>
      </c>
      <c r="R162" s="10">
        <f t="shared" si="117"/>
        <v>803201.04</v>
      </c>
      <c r="S162" s="10">
        <f t="shared" si="118"/>
        <v>0</v>
      </c>
      <c r="T162" s="10">
        <f t="shared" si="118"/>
        <v>0</v>
      </c>
      <c r="U162" s="10">
        <f t="shared" si="118"/>
        <v>0</v>
      </c>
      <c r="V162" s="10">
        <f t="shared" si="118"/>
        <v>0</v>
      </c>
      <c r="W162" s="10">
        <f t="shared" si="118"/>
        <v>0</v>
      </c>
      <c r="X162" s="10">
        <f t="shared" si="118"/>
        <v>0</v>
      </c>
      <c r="Y162" s="10">
        <f t="shared" si="118"/>
        <v>0</v>
      </c>
      <c r="Z162" s="10">
        <f t="shared" si="118"/>
        <v>983775.6493150685</v>
      </c>
      <c r="AA162" s="10"/>
      <c r="AB162" s="10"/>
      <c r="AC162">
        <f t="shared" si="123"/>
        <v>0</v>
      </c>
      <c r="AD162">
        <f t="shared" si="123"/>
        <v>0</v>
      </c>
      <c r="AE162">
        <f t="shared" si="123"/>
        <v>0</v>
      </c>
      <c r="AF162">
        <f t="shared" si="123"/>
        <v>0</v>
      </c>
      <c r="AG162">
        <f t="shared" si="123"/>
        <v>0</v>
      </c>
      <c r="AH162">
        <f t="shared" si="123"/>
        <v>0</v>
      </c>
      <c r="AI162">
        <f t="shared" si="123"/>
        <v>0</v>
      </c>
      <c r="AJ162">
        <f t="shared" si="123"/>
        <v>0</v>
      </c>
      <c r="AK162">
        <f t="shared" si="123"/>
        <v>0</v>
      </c>
      <c r="AL162">
        <f t="shared" si="123"/>
        <v>0</v>
      </c>
      <c r="AM162">
        <f t="shared" si="123"/>
        <v>0</v>
      </c>
      <c r="AN162">
        <f t="shared" si="123"/>
        <v>0</v>
      </c>
      <c r="AO162">
        <f t="shared" si="123"/>
        <v>0</v>
      </c>
      <c r="AP162">
        <f t="shared" si="123"/>
        <v>0</v>
      </c>
      <c r="AQ162">
        <f t="shared" si="123"/>
        <v>0</v>
      </c>
      <c r="AR162">
        <f t="shared" si="123"/>
        <v>0</v>
      </c>
      <c r="AS162">
        <f t="shared" si="122"/>
        <v>0</v>
      </c>
      <c r="AT162">
        <f t="shared" si="122"/>
        <v>0</v>
      </c>
      <c r="AU162">
        <f t="shared" si="122"/>
        <v>0</v>
      </c>
      <c r="AV162">
        <f t="shared" si="122"/>
        <v>365</v>
      </c>
      <c r="AW162">
        <f t="shared" si="122"/>
        <v>335</v>
      </c>
      <c r="AX162">
        <f t="shared" si="122"/>
        <v>304</v>
      </c>
      <c r="AY162">
        <f t="shared" ref="AY162:BH172" si="124">IF(($E162-AY$4)&gt;365,0,($E162-AY$4))</f>
        <v>0</v>
      </c>
      <c r="AZ162">
        <f t="shared" si="124"/>
        <v>0</v>
      </c>
      <c r="BA162">
        <f t="shared" si="124"/>
        <v>0</v>
      </c>
      <c r="BB162">
        <f t="shared" si="124"/>
        <v>0</v>
      </c>
      <c r="BC162">
        <f t="shared" si="124"/>
        <v>0</v>
      </c>
      <c r="BD162">
        <f t="shared" si="124"/>
        <v>0</v>
      </c>
      <c r="BE162">
        <f t="shared" si="124"/>
        <v>0</v>
      </c>
      <c r="BF162">
        <f t="shared" si="124"/>
        <v>0</v>
      </c>
      <c r="BG162">
        <f t="shared" si="124"/>
        <v>0</v>
      </c>
      <c r="BH162">
        <f t="shared" si="124"/>
        <v>0</v>
      </c>
      <c r="BI162">
        <f t="shared" ref="BI162:BT172" si="125">IF(($E162-BI$4)&gt;365,0,($E162-BI$4))</f>
        <v>0</v>
      </c>
      <c r="BJ162">
        <f t="shared" si="125"/>
        <v>0</v>
      </c>
      <c r="BK162">
        <f t="shared" si="125"/>
        <v>0</v>
      </c>
      <c r="BL162">
        <f t="shared" si="125"/>
        <v>0</v>
      </c>
      <c r="BM162">
        <f t="shared" si="125"/>
        <v>0</v>
      </c>
      <c r="BN162">
        <f t="shared" si="125"/>
        <v>0</v>
      </c>
      <c r="BO162">
        <f t="shared" si="125"/>
        <v>0</v>
      </c>
      <c r="BP162">
        <f t="shared" si="125"/>
        <v>0</v>
      </c>
      <c r="BQ162">
        <f t="shared" si="125"/>
        <v>0</v>
      </c>
      <c r="BR162">
        <f t="shared" si="125"/>
        <v>365</v>
      </c>
      <c r="BS162">
        <f t="shared" si="125"/>
        <v>335</v>
      </c>
      <c r="BT162">
        <f t="shared" si="125"/>
        <v>304</v>
      </c>
    </row>
    <row r="163" spans="1:72" ht="12.95" customHeight="1" x14ac:dyDescent="0.2">
      <c r="A163">
        <f t="shared" si="92"/>
        <v>2026</v>
      </c>
      <c r="B163">
        <f t="shared" si="110"/>
        <v>12</v>
      </c>
      <c r="C163">
        <f t="shared" si="111"/>
        <v>4</v>
      </c>
      <c r="D163" s="11">
        <f>prod!A160</f>
        <v>46357</v>
      </c>
      <c r="E163" s="11">
        <f t="shared" si="112"/>
        <v>46721</v>
      </c>
      <c r="F163" s="10" t="str">
        <f>prod!B160</f>
        <v>דירות</v>
      </c>
      <c r="G163" s="10" t="str">
        <f>prod!C160</f>
        <v xml:space="preserve">דירות </v>
      </c>
      <c r="H163" s="10">
        <f>prod!D160</f>
        <v>1250305</v>
      </c>
      <c r="I163" s="10">
        <f>SUMIFS(info!C:C,info!$A:$A,data!$A163,info!$B:$B,data!$G163)</f>
        <v>0.21</v>
      </c>
      <c r="J163" s="10">
        <f>SUMIFS(info!D:D,info!$A:$A,data!$A163,info!$B:$B,data!$G163)</f>
        <v>0.85</v>
      </c>
      <c r="K163" s="10">
        <f>SUMIFS(info!E:E,info!$A:$A,data!$A163,info!$B:$B,data!$G163)</f>
        <v>0.24340000000000001</v>
      </c>
      <c r="L163" s="10">
        <f>SUMIFS(info!F:F,info!$A:$A,data!$A163,info!$B:$B,data!$G163)</f>
        <v>0.8</v>
      </c>
      <c r="M163" s="10">
        <f>IF(SUMIFS(info!$C$25:$C$27,info!$A$25:$A$27,data!A163,info!$B$25:$B$27,data!F163)&lt;=0,1,SUMIFS(info!$C$25:$C$27,info!$A$25:$A$27,data!A163,info!$B$25:$B$27,data!F163))*H163</f>
        <v>1250305</v>
      </c>
      <c r="N163" s="10">
        <f t="shared" si="113"/>
        <v>1062759.25</v>
      </c>
      <c r="O163" s="10">
        <f t="shared" si="114"/>
        <v>262564.05</v>
      </c>
      <c r="P163" s="10">
        <f t="shared" si="115"/>
        <v>258675.60145000002</v>
      </c>
      <c r="Q163" s="10">
        <f t="shared" si="116"/>
        <v>1000244</v>
      </c>
      <c r="R163" s="10">
        <f t="shared" si="117"/>
        <v>850207.4</v>
      </c>
      <c r="S163" s="10">
        <f t="shared" si="118"/>
        <v>0</v>
      </c>
      <c r="T163" s="10">
        <f t="shared" si="118"/>
        <v>0</v>
      </c>
      <c r="U163" s="10">
        <f t="shared" si="118"/>
        <v>0</v>
      </c>
      <c r="V163" s="10">
        <f t="shared" si="118"/>
        <v>0</v>
      </c>
      <c r="W163" s="10">
        <f t="shared" si="118"/>
        <v>0</v>
      </c>
      <c r="X163" s="10">
        <f t="shared" si="118"/>
        <v>0</v>
      </c>
      <c r="Y163" s="10">
        <f t="shared" si="118"/>
        <v>0</v>
      </c>
      <c r="Z163" s="10">
        <f t="shared" si="118"/>
        <v>1144114.7123287672</v>
      </c>
      <c r="AA163" s="10"/>
      <c r="AB163" s="10"/>
      <c r="AC163">
        <f t="shared" si="123"/>
        <v>0</v>
      </c>
      <c r="AD163">
        <f t="shared" si="123"/>
        <v>0</v>
      </c>
      <c r="AE163">
        <f t="shared" si="123"/>
        <v>0</v>
      </c>
      <c r="AF163">
        <f t="shared" si="123"/>
        <v>0</v>
      </c>
      <c r="AG163">
        <f t="shared" si="123"/>
        <v>0</v>
      </c>
      <c r="AH163">
        <f t="shared" si="123"/>
        <v>0</v>
      </c>
      <c r="AI163">
        <f t="shared" si="123"/>
        <v>0</v>
      </c>
      <c r="AJ163">
        <f t="shared" si="123"/>
        <v>0</v>
      </c>
      <c r="AK163">
        <f t="shared" si="123"/>
        <v>0</v>
      </c>
      <c r="AL163">
        <f t="shared" si="123"/>
        <v>0</v>
      </c>
      <c r="AM163">
        <f t="shared" si="123"/>
        <v>0</v>
      </c>
      <c r="AN163">
        <f t="shared" si="123"/>
        <v>0</v>
      </c>
      <c r="AO163">
        <f t="shared" si="123"/>
        <v>0</v>
      </c>
      <c r="AP163">
        <f t="shared" si="123"/>
        <v>0</v>
      </c>
      <c r="AQ163">
        <f t="shared" si="123"/>
        <v>0</v>
      </c>
      <c r="AR163">
        <f t="shared" si="123"/>
        <v>0</v>
      </c>
      <c r="AS163">
        <f t="shared" si="122"/>
        <v>0</v>
      </c>
      <c r="AT163">
        <f t="shared" si="122"/>
        <v>0</v>
      </c>
      <c r="AU163">
        <f t="shared" si="122"/>
        <v>0</v>
      </c>
      <c r="AV163">
        <f t="shared" si="122"/>
        <v>0</v>
      </c>
      <c r="AW163">
        <f t="shared" si="122"/>
        <v>365</v>
      </c>
      <c r="AX163">
        <f t="shared" si="122"/>
        <v>334</v>
      </c>
      <c r="AY163">
        <f t="shared" si="124"/>
        <v>0</v>
      </c>
      <c r="AZ163">
        <f t="shared" si="124"/>
        <v>0</v>
      </c>
      <c r="BA163">
        <f t="shared" si="124"/>
        <v>0</v>
      </c>
      <c r="BB163">
        <f t="shared" si="124"/>
        <v>0</v>
      </c>
      <c r="BC163">
        <f t="shared" si="124"/>
        <v>0</v>
      </c>
      <c r="BD163">
        <f t="shared" si="124"/>
        <v>0</v>
      </c>
      <c r="BE163">
        <f t="shared" si="124"/>
        <v>0</v>
      </c>
      <c r="BF163">
        <f t="shared" si="124"/>
        <v>0</v>
      </c>
      <c r="BG163">
        <f t="shared" si="124"/>
        <v>0</v>
      </c>
      <c r="BH163">
        <f t="shared" si="124"/>
        <v>0</v>
      </c>
      <c r="BI163">
        <f t="shared" si="125"/>
        <v>0</v>
      </c>
      <c r="BJ163">
        <f t="shared" si="125"/>
        <v>0</v>
      </c>
      <c r="BK163">
        <f t="shared" si="125"/>
        <v>0</v>
      </c>
      <c r="BL163">
        <f t="shared" si="125"/>
        <v>0</v>
      </c>
      <c r="BM163">
        <f t="shared" si="125"/>
        <v>0</v>
      </c>
      <c r="BN163">
        <f t="shared" si="125"/>
        <v>0</v>
      </c>
      <c r="BO163">
        <f t="shared" si="125"/>
        <v>0</v>
      </c>
      <c r="BP163">
        <f t="shared" si="125"/>
        <v>0</v>
      </c>
      <c r="BQ163">
        <f t="shared" si="125"/>
        <v>0</v>
      </c>
      <c r="BR163">
        <f t="shared" si="125"/>
        <v>0</v>
      </c>
      <c r="BS163">
        <f t="shared" si="125"/>
        <v>365</v>
      </c>
      <c r="BT163">
        <f t="shared" si="125"/>
        <v>334</v>
      </c>
    </row>
    <row r="164" spans="1:72" ht="12.95" customHeight="1" x14ac:dyDescent="0.2">
      <c r="A164">
        <f t="shared" ref="A164:A172" si="126">YEAR(D164)</f>
        <v>2026</v>
      </c>
      <c r="B164">
        <f t="shared" si="110"/>
        <v>4</v>
      </c>
      <c r="C164">
        <f t="shared" si="111"/>
        <v>2</v>
      </c>
      <c r="D164" s="11">
        <f>prod!A161</f>
        <v>46113</v>
      </c>
      <c r="E164" s="11">
        <f t="shared" si="112"/>
        <v>46477</v>
      </c>
      <c r="F164" s="10" t="str">
        <f>prod!B161</f>
        <v>בתי עסק</v>
      </c>
      <c r="G164" s="10" t="str">
        <f>prod!C161</f>
        <v>בתי עסק</v>
      </c>
      <c r="H164" s="10">
        <f>prod!D161</f>
        <v>50000</v>
      </c>
      <c r="I164" s="10">
        <f>SUMIFS(info!C:C,info!$A:$A,data!$A164,info!$B:$B,data!$G164)</f>
        <v>0.18</v>
      </c>
      <c r="J164" s="10">
        <f>SUMIFS(info!D:D,info!$A:$A,data!$A164,info!$B:$B,data!$G164)</f>
        <v>0.85</v>
      </c>
      <c r="K164" s="10">
        <f>SUMIFS(info!E:E,info!$A:$A,data!$A164,info!$B:$B,data!$G164)</f>
        <v>0.24340000000000001</v>
      </c>
      <c r="L164" s="10">
        <f>SUMIFS(info!F:F,info!$A:$A,data!$A164,info!$B:$B,data!$G164)</f>
        <v>0.7</v>
      </c>
      <c r="M164" s="10">
        <f>IF(SUMIFS(info!$C$25:$C$27,info!$A$25:$A$27,data!A164,info!$B$25:$B$27,data!F164)&lt;=0,1,SUMIFS(info!$C$25:$C$27,info!$A$25:$A$27,data!A164,info!$B$25:$B$27,data!F164))*H164</f>
        <v>50000</v>
      </c>
      <c r="N164" s="10">
        <f t="shared" si="113"/>
        <v>42500</v>
      </c>
      <c r="O164" s="10">
        <f t="shared" si="114"/>
        <v>9000</v>
      </c>
      <c r="P164" s="10">
        <f t="shared" si="115"/>
        <v>10344.5</v>
      </c>
      <c r="Q164" s="10">
        <f t="shared" si="116"/>
        <v>35000</v>
      </c>
      <c r="R164" s="10">
        <f t="shared" si="117"/>
        <v>29750</v>
      </c>
      <c r="S164" s="10">
        <f t="shared" si="118"/>
        <v>0</v>
      </c>
      <c r="T164" s="10">
        <f t="shared" si="118"/>
        <v>0</v>
      </c>
      <c r="U164" s="10">
        <f t="shared" si="118"/>
        <v>0</v>
      </c>
      <c r="V164" s="10">
        <f t="shared" si="118"/>
        <v>0</v>
      </c>
      <c r="W164" s="10">
        <f t="shared" si="118"/>
        <v>0</v>
      </c>
      <c r="X164" s="10">
        <f t="shared" si="118"/>
        <v>37534.246575342462</v>
      </c>
      <c r="Y164" s="10">
        <f t="shared" si="118"/>
        <v>24931.506849315068</v>
      </c>
      <c r="Z164" s="10">
        <f t="shared" ref="T164:Z172" si="127">IF($D164&gt;Z$4,0,$M164*MAX(0,$E164-Z$4)/($E164-$D164+1))</f>
        <v>12328.767123287671</v>
      </c>
      <c r="AA164" s="10"/>
      <c r="AB164" s="10"/>
      <c r="AC164">
        <f t="shared" si="123"/>
        <v>0</v>
      </c>
      <c r="AD164">
        <f t="shared" si="123"/>
        <v>0</v>
      </c>
      <c r="AE164">
        <f t="shared" si="123"/>
        <v>0</v>
      </c>
      <c r="AF164">
        <f t="shared" si="123"/>
        <v>0</v>
      </c>
      <c r="AG164">
        <f t="shared" si="123"/>
        <v>0</v>
      </c>
      <c r="AH164">
        <f t="shared" si="123"/>
        <v>0</v>
      </c>
      <c r="AI164">
        <f t="shared" si="123"/>
        <v>0</v>
      </c>
      <c r="AJ164">
        <f t="shared" si="123"/>
        <v>0</v>
      </c>
      <c r="AK164">
        <f t="shared" si="123"/>
        <v>0</v>
      </c>
      <c r="AL164">
        <f t="shared" si="123"/>
        <v>0</v>
      </c>
      <c r="AM164">
        <f t="shared" si="123"/>
        <v>0</v>
      </c>
      <c r="AN164">
        <f t="shared" si="123"/>
        <v>0</v>
      </c>
      <c r="AO164">
        <f t="shared" si="123"/>
        <v>365</v>
      </c>
      <c r="AP164">
        <f t="shared" si="123"/>
        <v>335</v>
      </c>
      <c r="AQ164">
        <f t="shared" si="123"/>
        <v>304</v>
      </c>
      <c r="AR164">
        <f t="shared" si="123"/>
        <v>274</v>
      </c>
      <c r="AS164">
        <f t="shared" si="122"/>
        <v>243</v>
      </c>
      <c r="AT164">
        <f t="shared" si="122"/>
        <v>212</v>
      </c>
      <c r="AU164">
        <f t="shared" si="122"/>
        <v>182</v>
      </c>
      <c r="AV164">
        <f t="shared" si="122"/>
        <v>151</v>
      </c>
      <c r="AW164">
        <f t="shared" si="122"/>
        <v>121</v>
      </c>
      <c r="AX164">
        <f t="shared" si="122"/>
        <v>90</v>
      </c>
      <c r="AY164">
        <f t="shared" si="124"/>
        <v>0</v>
      </c>
      <c r="AZ164">
        <f t="shared" si="124"/>
        <v>0</v>
      </c>
      <c r="BA164">
        <f t="shared" si="124"/>
        <v>0</v>
      </c>
      <c r="BB164">
        <f t="shared" si="124"/>
        <v>0</v>
      </c>
      <c r="BC164">
        <f t="shared" si="124"/>
        <v>0</v>
      </c>
      <c r="BD164">
        <f t="shared" si="124"/>
        <v>0</v>
      </c>
      <c r="BE164">
        <f t="shared" si="124"/>
        <v>0</v>
      </c>
      <c r="BF164">
        <f t="shared" si="124"/>
        <v>0</v>
      </c>
      <c r="BG164">
        <f t="shared" si="124"/>
        <v>0</v>
      </c>
      <c r="BH164">
        <f t="shared" si="124"/>
        <v>0</v>
      </c>
      <c r="BI164">
        <f t="shared" si="125"/>
        <v>0</v>
      </c>
      <c r="BJ164">
        <f t="shared" si="125"/>
        <v>0</v>
      </c>
      <c r="BK164">
        <f t="shared" si="125"/>
        <v>365</v>
      </c>
      <c r="BL164">
        <f t="shared" si="125"/>
        <v>335</v>
      </c>
      <c r="BM164">
        <f t="shared" si="125"/>
        <v>304</v>
      </c>
      <c r="BN164">
        <f t="shared" si="125"/>
        <v>274</v>
      </c>
      <c r="BO164">
        <f t="shared" si="125"/>
        <v>243</v>
      </c>
      <c r="BP164">
        <f t="shared" si="125"/>
        <v>212</v>
      </c>
      <c r="BQ164">
        <f t="shared" si="125"/>
        <v>182</v>
      </c>
      <c r="BR164">
        <f t="shared" si="125"/>
        <v>151</v>
      </c>
      <c r="BS164">
        <f t="shared" si="125"/>
        <v>121</v>
      </c>
      <c r="BT164">
        <f t="shared" si="125"/>
        <v>90</v>
      </c>
    </row>
    <row r="165" spans="1:72" ht="12.95" customHeight="1" x14ac:dyDescent="0.2">
      <c r="A165">
        <f t="shared" si="126"/>
        <v>2026</v>
      </c>
      <c r="B165">
        <f t="shared" si="110"/>
        <v>5</v>
      </c>
      <c r="C165">
        <f t="shared" si="111"/>
        <v>2</v>
      </c>
      <c r="D165" s="11">
        <f>prod!A162</f>
        <v>46143</v>
      </c>
      <c r="E165" s="11">
        <f t="shared" si="112"/>
        <v>46507</v>
      </c>
      <c r="F165" s="10" t="str">
        <f>prod!B162</f>
        <v>בתי עסק</v>
      </c>
      <c r="G165" s="10" t="str">
        <f>prod!C162</f>
        <v>בתי עסק</v>
      </c>
      <c r="H165" s="10">
        <f>prod!D162</f>
        <v>91000</v>
      </c>
      <c r="I165" s="10">
        <f>SUMIFS(info!C:C,info!$A:$A,data!$A165,info!$B:$B,data!$G165)</f>
        <v>0.18</v>
      </c>
      <c r="J165" s="10">
        <f>SUMIFS(info!D:D,info!$A:$A,data!$A165,info!$B:$B,data!$G165)</f>
        <v>0.85</v>
      </c>
      <c r="K165" s="10">
        <f>SUMIFS(info!E:E,info!$A:$A,data!$A165,info!$B:$B,data!$G165)</f>
        <v>0.24340000000000001</v>
      </c>
      <c r="L165" s="10">
        <f>SUMIFS(info!F:F,info!$A:$A,data!$A165,info!$B:$B,data!$G165)</f>
        <v>0.7</v>
      </c>
      <c r="M165" s="10">
        <f>IF(SUMIFS(info!$C$25:$C$27,info!$A$25:$A$27,data!A165,info!$B$25:$B$27,data!F165)&lt;=0,1,SUMIFS(info!$C$25:$C$27,info!$A$25:$A$27,data!A165,info!$B$25:$B$27,data!F165))*H165</f>
        <v>91000</v>
      </c>
      <c r="N165" s="10">
        <f t="shared" si="113"/>
        <v>77350</v>
      </c>
      <c r="O165" s="10">
        <f t="shared" si="114"/>
        <v>16380</v>
      </c>
      <c r="P165" s="10">
        <f t="shared" si="115"/>
        <v>18826.990000000002</v>
      </c>
      <c r="Q165" s="10">
        <f t="shared" si="116"/>
        <v>63699.999999999993</v>
      </c>
      <c r="R165" s="10">
        <f t="shared" si="117"/>
        <v>54144.999999999993</v>
      </c>
      <c r="S165" s="10">
        <f t="shared" si="118"/>
        <v>0</v>
      </c>
      <c r="T165" s="10">
        <f t="shared" si="127"/>
        <v>0</v>
      </c>
      <c r="U165" s="10">
        <f t="shared" si="127"/>
        <v>0</v>
      </c>
      <c r="V165" s="10">
        <f t="shared" si="127"/>
        <v>0</v>
      </c>
      <c r="W165" s="10">
        <f t="shared" si="127"/>
        <v>0</v>
      </c>
      <c r="X165" s="10">
        <f t="shared" si="127"/>
        <v>75791.780821917811</v>
      </c>
      <c r="Y165" s="10">
        <f t="shared" si="127"/>
        <v>52854.794520547948</v>
      </c>
      <c r="Z165" s="10">
        <f t="shared" si="127"/>
        <v>29917.808219178081</v>
      </c>
      <c r="AA165" s="10"/>
      <c r="AB165" s="10"/>
      <c r="AC165">
        <f t="shared" si="123"/>
        <v>0</v>
      </c>
      <c r="AD165">
        <f t="shared" si="123"/>
        <v>0</v>
      </c>
      <c r="AE165">
        <f t="shared" si="123"/>
        <v>0</v>
      </c>
      <c r="AF165">
        <f t="shared" si="123"/>
        <v>0</v>
      </c>
      <c r="AG165">
        <f t="shared" si="123"/>
        <v>0</v>
      </c>
      <c r="AH165">
        <f t="shared" si="123"/>
        <v>0</v>
      </c>
      <c r="AI165">
        <f t="shared" si="123"/>
        <v>0</v>
      </c>
      <c r="AJ165">
        <f t="shared" si="123"/>
        <v>0</v>
      </c>
      <c r="AK165">
        <f t="shared" si="123"/>
        <v>0</v>
      </c>
      <c r="AL165">
        <f t="shared" si="123"/>
        <v>0</v>
      </c>
      <c r="AM165">
        <f t="shared" si="123"/>
        <v>0</v>
      </c>
      <c r="AN165">
        <f t="shared" si="123"/>
        <v>0</v>
      </c>
      <c r="AO165">
        <f t="shared" si="123"/>
        <v>0</v>
      </c>
      <c r="AP165">
        <f t="shared" si="123"/>
        <v>365</v>
      </c>
      <c r="AQ165">
        <f t="shared" si="123"/>
        <v>334</v>
      </c>
      <c r="AR165">
        <f t="shared" ref="AR165:AX172" si="128">IF(($E165-AR$4)&gt;365,0,($E165-AR$4))</f>
        <v>304</v>
      </c>
      <c r="AS165">
        <f t="shared" si="128"/>
        <v>273</v>
      </c>
      <c r="AT165">
        <f t="shared" si="128"/>
        <v>242</v>
      </c>
      <c r="AU165">
        <f t="shared" si="128"/>
        <v>212</v>
      </c>
      <c r="AV165">
        <f t="shared" si="128"/>
        <v>181</v>
      </c>
      <c r="AW165">
        <f t="shared" si="128"/>
        <v>151</v>
      </c>
      <c r="AX165">
        <f t="shared" si="128"/>
        <v>120</v>
      </c>
      <c r="AY165">
        <f t="shared" si="124"/>
        <v>0</v>
      </c>
      <c r="AZ165">
        <f t="shared" si="124"/>
        <v>0</v>
      </c>
      <c r="BA165">
        <f t="shared" si="124"/>
        <v>0</v>
      </c>
      <c r="BB165">
        <f t="shared" si="124"/>
        <v>0</v>
      </c>
      <c r="BC165">
        <f t="shared" si="124"/>
        <v>0</v>
      </c>
      <c r="BD165">
        <f t="shared" si="124"/>
        <v>0</v>
      </c>
      <c r="BE165">
        <f t="shared" si="124"/>
        <v>0</v>
      </c>
      <c r="BF165">
        <f t="shared" si="124"/>
        <v>0</v>
      </c>
      <c r="BG165">
        <f t="shared" si="124"/>
        <v>0</v>
      </c>
      <c r="BH165">
        <f t="shared" si="124"/>
        <v>0</v>
      </c>
      <c r="BI165">
        <f t="shared" si="125"/>
        <v>0</v>
      </c>
      <c r="BJ165">
        <f t="shared" si="125"/>
        <v>0</v>
      </c>
      <c r="BK165">
        <f t="shared" si="125"/>
        <v>0</v>
      </c>
      <c r="BL165">
        <f t="shared" si="125"/>
        <v>365</v>
      </c>
      <c r="BM165">
        <f t="shared" si="125"/>
        <v>334</v>
      </c>
      <c r="BN165">
        <f t="shared" si="125"/>
        <v>304</v>
      </c>
      <c r="BO165">
        <f t="shared" si="125"/>
        <v>273</v>
      </c>
      <c r="BP165">
        <f t="shared" si="125"/>
        <v>242</v>
      </c>
      <c r="BQ165">
        <f t="shared" si="125"/>
        <v>212</v>
      </c>
      <c r="BR165">
        <f t="shared" si="125"/>
        <v>181</v>
      </c>
      <c r="BS165">
        <f t="shared" si="125"/>
        <v>151</v>
      </c>
      <c r="BT165">
        <f t="shared" si="125"/>
        <v>120</v>
      </c>
    </row>
    <row r="166" spans="1:72" ht="12.95" customHeight="1" x14ac:dyDescent="0.2">
      <c r="A166">
        <f t="shared" si="126"/>
        <v>2026</v>
      </c>
      <c r="B166">
        <f t="shared" si="110"/>
        <v>6</v>
      </c>
      <c r="C166">
        <f t="shared" si="111"/>
        <v>2</v>
      </c>
      <c r="D166" s="11">
        <f>prod!A163</f>
        <v>46174</v>
      </c>
      <c r="E166" s="11">
        <f t="shared" si="112"/>
        <v>46538</v>
      </c>
      <c r="F166" s="10" t="str">
        <f>prod!B163</f>
        <v>בתי עסק</v>
      </c>
      <c r="G166" s="10" t="str">
        <f>prod!C163</f>
        <v>בתי עסק</v>
      </c>
      <c r="H166" s="10">
        <f>prod!D163</f>
        <v>165620</v>
      </c>
      <c r="I166" s="10">
        <f>SUMIFS(info!C:C,info!$A:$A,data!$A166,info!$B:$B,data!$G166)</f>
        <v>0.18</v>
      </c>
      <c r="J166" s="10">
        <f>SUMIFS(info!D:D,info!$A:$A,data!$A166,info!$B:$B,data!$G166)</f>
        <v>0.85</v>
      </c>
      <c r="K166" s="10">
        <f>SUMIFS(info!E:E,info!$A:$A,data!$A166,info!$B:$B,data!$G166)</f>
        <v>0.24340000000000001</v>
      </c>
      <c r="L166" s="10">
        <f>SUMIFS(info!F:F,info!$A:$A,data!$A166,info!$B:$B,data!$G166)</f>
        <v>0.7</v>
      </c>
      <c r="M166" s="10">
        <f>IF(SUMIFS(info!$C$25:$C$27,info!$A$25:$A$27,data!A166,info!$B$25:$B$27,data!F166)&lt;=0,1,SUMIFS(info!$C$25:$C$27,info!$A$25:$A$27,data!A166,info!$B$25:$B$27,data!F166))*H166</f>
        <v>165620</v>
      </c>
      <c r="N166" s="10">
        <f t="shared" si="113"/>
        <v>140777</v>
      </c>
      <c r="O166" s="10">
        <f t="shared" si="114"/>
        <v>29811.599999999999</v>
      </c>
      <c r="P166" s="10">
        <f t="shared" si="115"/>
        <v>34265.121800000001</v>
      </c>
      <c r="Q166" s="10">
        <f t="shared" si="116"/>
        <v>115933.99999999999</v>
      </c>
      <c r="R166" s="10">
        <f t="shared" si="117"/>
        <v>98543.89999999998</v>
      </c>
      <c r="S166" s="10">
        <f t="shared" si="118"/>
        <v>0</v>
      </c>
      <c r="T166" s="10">
        <f t="shared" si="127"/>
        <v>0</v>
      </c>
      <c r="U166" s="10">
        <f t="shared" si="127"/>
        <v>0</v>
      </c>
      <c r="V166" s="10">
        <f t="shared" si="127"/>
        <v>0</v>
      </c>
      <c r="W166" s="10">
        <f t="shared" si="127"/>
        <v>0</v>
      </c>
      <c r="X166" s="10">
        <f t="shared" si="127"/>
        <v>152007.39726027398</v>
      </c>
      <c r="Y166" s="10">
        <f t="shared" si="127"/>
        <v>110262.08219178082</v>
      </c>
      <c r="Z166" s="10">
        <f t="shared" si="127"/>
        <v>68516.767123287675</v>
      </c>
      <c r="AA166" s="10"/>
      <c r="AB166" s="10"/>
      <c r="AC166">
        <f t="shared" ref="AC166:AQ172" si="129">IF(($E166-AC$4)&gt;365,0,($E166-AC$4))</f>
        <v>0</v>
      </c>
      <c r="AD166">
        <f t="shared" si="129"/>
        <v>0</v>
      </c>
      <c r="AE166">
        <f t="shared" si="129"/>
        <v>0</v>
      </c>
      <c r="AF166">
        <f t="shared" si="129"/>
        <v>0</v>
      </c>
      <c r="AG166">
        <f t="shared" si="129"/>
        <v>0</v>
      </c>
      <c r="AH166">
        <f t="shared" si="129"/>
        <v>0</v>
      </c>
      <c r="AI166">
        <f t="shared" si="129"/>
        <v>0</v>
      </c>
      <c r="AJ166">
        <f t="shared" si="129"/>
        <v>0</v>
      </c>
      <c r="AK166">
        <f t="shared" si="129"/>
        <v>0</v>
      </c>
      <c r="AL166">
        <f t="shared" si="129"/>
        <v>0</v>
      </c>
      <c r="AM166">
        <f t="shared" si="129"/>
        <v>0</v>
      </c>
      <c r="AN166">
        <f t="shared" si="129"/>
        <v>0</v>
      </c>
      <c r="AO166">
        <f t="shared" si="129"/>
        <v>0</v>
      </c>
      <c r="AP166">
        <f t="shared" si="129"/>
        <v>0</v>
      </c>
      <c r="AQ166">
        <f t="shared" si="129"/>
        <v>365</v>
      </c>
      <c r="AR166">
        <f t="shared" si="128"/>
        <v>335</v>
      </c>
      <c r="AS166">
        <f t="shared" si="128"/>
        <v>304</v>
      </c>
      <c r="AT166">
        <f t="shared" si="128"/>
        <v>273</v>
      </c>
      <c r="AU166">
        <f t="shared" si="128"/>
        <v>243</v>
      </c>
      <c r="AV166">
        <f t="shared" si="128"/>
        <v>212</v>
      </c>
      <c r="AW166">
        <f t="shared" si="128"/>
        <v>182</v>
      </c>
      <c r="AX166">
        <f t="shared" si="128"/>
        <v>151</v>
      </c>
      <c r="AY166">
        <f t="shared" si="124"/>
        <v>0</v>
      </c>
      <c r="AZ166">
        <f t="shared" si="124"/>
        <v>0</v>
      </c>
      <c r="BA166">
        <f t="shared" si="124"/>
        <v>0</v>
      </c>
      <c r="BB166">
        <f t="shared" si="124"/>
        <v>0</v>
      </c>
      <c r="BC166">
        <f t="shared" si="124"/>
        <v>0</v>
      </c>
      <c r="BD166">
        <f t="shared" si="124"/>
        <v>0</v>
      </c>
      <c r="BE166">
        <f t="shared" si="124"/>
        <v>0</v>
      </c>
      <c r="BF166">
        <f t="shared" si="124"/>
        <v>0</v>
      </c>
      <c r="BG166">
        <f t="shared" si="124"/>
        <v>0</v>
      </c>
      <c r="BH166">
        <f t="shared" si="124"/>
        <v>0</v>
      </c>
      <c r="BI166">
        <f t="shared" si="125"/>
        <v>0</v>
      </c>
      <c r="BJ166">
        <f t="shared" si="125"/>
        <v>0</v>
      </c>
      <c r="BK166">
        <f t="shared" si="125"/>
        <v>0</v>
      </c>
      <c r="BL166">
        <f t="shared" si="125"/>
        <v>0</v>
      </c>
      <c r="BM166">
        <f t="shared" si="125"/>
        <v>365</v>
      </c>
      <c r="BN166">
        <f t="shared" si="125"/>
        <v>335</v>
      </c>
      <c r="BO166">
        <f t="shared" si="125"/>
        <v>304</v>
      </c>
      <c r="BP166">
        <f t="shared" si="125"/>
        <v>273</v>
      </c>
      <c r="BQ166">
        <f t="shared" si="125"/>
        <v>243</v>
      </c>
      <c r="BR166">
        <f t="shared" si="125"/>
        <v>212</v>
      </c>
      <c r="BS166">
        <f t="shared" si="125"/>
        <v>182</v>
      </c>
      <c r="BT166">
        <f t="shared" si="125"/>
        <v>151</v>
      </c>
    </row>
    <row r="167" spans="1:72" ht="12.95" customHeight="1" x14ac:dyDescent="0.2">
      <c r="A167">
        <f t="shared" si="126"/>
        <v>2026</v>
      </c>
      <c r="B167">
        <f t="shared" si="110"/>
        <v>7</v>
      </c>
      <c r="C167">
        <f t="shared" si="111"/>
        <v>3</v>
      </c>
      <c r="D167" s="11">
        <f>prod!A164</f>
        <v>46204</v>
      </c>
      <c r="E167" s="11">
        <f t="shared" si="112"/>
        <v>46568</v>
      </c>
      <c r="F167" s="10" t="str">
        <f>prod!B164</f>
        <v>בתי עסק</v>
      </c>
      <c r="G167" s="10" t="str">
        <f>prod!C164</f>
        <v>בתי עסק</v>
      </c>
      <c r="H167" s="10">
        <f>prod!D164</f>
        <v>185494</v>
      </c>
      <c r="I167" s="10">
        <f>SUMIFS(info!C:C,info!$A:$A,data!$A167,info!$B:$B,data!$G167)</f>
        <v>0.18</v>
      </c>
      <c r="J167" s="10">
        <f>SUMIFS(info!D:D,info!$A:$A,data!$A167,info!$B:$B,data!$G167)</f>
        <v>0.85</v>
      </c>
      <c r="K167" s="10">
        <f>SUMIFS(info!E:E,info!$A:$A,data!$A167,info!$B:$B,data!$G167)</f>
        <v>0.24340000000000001</v>
      </c>
      <c r="L167" s="10">
        <f>SUMIFS(info!F:F,info!$A:$A,data!$A167,info!$B:$B,data!$G167)</f>
        <v>0.7</v>
      </c>
      <c r="M167" s="10">
        <f>IF(SUMIFS(info!$C$25:$C$27,info!$A$25:$A$27,data!A167,info!$B$25:$B$27,data!F167)&lt;=0,1,SUMIFS(info!$C$25:$C$27,info!$A$25:$A$27,data!A167,info!$B$25:$B$27,data!F167))*H167</f>
        <v>185494</v>
      </c>
      <c r="N167" s="10">
        <f t="shared" si="113"/>
        <v>157669.9</v>
      </c>
      <c r="O167" s="10">
        <f t="shared" si="114"/>
        <v>33388.92</v>
      </c>
      <c r="P167" s="10">
        <f t="shared" si="115"/>
        <v>38376.853660000001</v>
      </c>
      <c r="Q167" s="10">
        <f t="shared" si="116"/>
        <v>129845.79999999999</v>
      </c>
      <c r="R167" s="10">
        <f t="shared" si="117"/>
        <v>110368.93</v>
      </c>
      <c r="S167" s="10">
        <f t="shared" si="118"/>
        <v>0</v>
      </c>
      <c r="T167" s="10">
        <f t="shared" si="127"/>
        <v>0</v>
      </c>
      <c r="U167" s="10">
        <f t="shared" si="127"/>
        <v>0</v>
      </c>
      <c r="V167" s="10">
        <f t="shared" si="127"/>
        <v>0</v>
      </c>
      <c r="W167" s="10">
        <f t="shared" si="127"/>
        <v>0</v>
      </c>
      <c r="X167" s="10">
        <f t="shared" si="127"/>
        <v>0</v>
      </c>
      <c r="Y167" s="10">
        <f t="shared" si="127"/>
        <v>138739.34794520549</v>
      </c>
      <c r="Z167" s="10">
        <f t="shared" si="127"/>
        <v>91984.695890410963</v>
      </c>
      <c r="AA167" s="10"/>
      <c r="AB167" s="10"/>
      <c r="AC167">
        <f t="shared" si="129"/>
        <v>0</v>
      </c>
      <c r="AD167">
        <f t="shared" si="129"/>
        <v>0</v>
      </c>
      <c r="AE167">
        <f t="shared" si="129"/>
        <v>0</v>
      </c>
      <c r="AF167">
        <f t="shared" si="129"/>
        <v>0</v>
      </c>
      <c r="AG167">
        <f t="shared" si="129"/>
        <v>0</v>
      </c>
      <c r="AH167">
        <f t="shared" si="129"/>
        <v>0</v>
      </c>
      <c r="AI167">
        <f t="shared" si="129"/>
        <v>0</v>
      </c>
      <c r="AJ167">
        <f t="shared" si="129"/>
        <v>0</v>
      </c>
      <c r="AK167">
        <f t="shared" si="129"/>
        <v>0</v>
      </c>
      <c r="AL167">
        <f t="shared" si="129"/>
        <v>0</v>
      </c>
      <c r="AM167">
        <f t="shared" si="129"/>
        <v>0</v>
      </c>
      <c r="AN167">
        <f t="shared" si="129"/>
        <v>0</v>
      </c>
      <c r="AO167">
        <f t="shared" si="129"/>
        <v>0</v>
      </c>
      <c r="AP167">
        <f t="shared" si="129"/>
        <v>0</v>
      </c>
      <c r="AQ167">
        <f t="shared" si="129"/>
        <v>0</v>
      </c>
      <c r="AR167">
        <f t="shared" si="128"/>
        <v>365</v>
      </c>
      <c r="AS167">
        <f t="shared" si="128"/>
        <v>334</v>
      </c>
      <c r="AT167">
        <f t="shared" si="128"/>
        <v>303</v>
      </c>
      <c r="AU167">
        <f t="shared" si="128"/>
        <v>273</v>
      </c>
      <c r="AV167">
        <f t="shared" si="128"/>
        <v>242</v>
      </c>
      <c r="AW167">
        <f t="shared" si="128"/>
        <v>212</v>
      </c>
      <c r="AX167">
        <f t="shared" si="128"/>
        <v>181</v>
      </c>
      <c r="AY167">
        <f t="shared" si="124"/>
        <v>0</v>
      </c>
      <c r="AZ167">
        <f t="shared" si="124"/>
        <v>0</v>
      </c>
      <c r="BA167">
        <f t="shared" si="124"/>
        <v>0</v>
      </c>
      <c r="BB167">
        <f t="shared" si="124"/>
        <v>0</v>
      </c>
      <c r="BC167">
        <f t="shared" si="124"/>
        <v>0</v>
      </c>
      <c r="BD167">
        <f t="shared" si="124"/>
        <v>0</v>
      </c>
      <c r="BE167">
        <f t="shared" si="124"/>
        <v>0</v>
      </c>
      <c r="BF167">
        <f t="shared" si="124"/>
        <v>0</v>
      </c>
      <c r="BG167">
        <f t="shared" si="124"/>
        <v>0</v>
      </c>
      <c r="BH167">
        <f t="shared" si="124"/>
        <v>0</v>
      </c>
      <c r="BI167">
        <f t="shared" si="125"/>
        <v>0</v>
      </c>
      <c r="BJ167">
        <f t="shared" si="125"/>
        <v>0</v>
      </c>
      <c r="BK167">
        <f t="shared" si="125"/>
        <v>0</v>
      </c>
      <c r="BL167">
        <f t="shared" si="125"/>
        <v>0</v>
      </c>
      <c r="BM167">
        <f t="shared" si="125"/>
        <v>0</v>
      </c>
      <c r="BN167">
        <f t="shared" si="125"/>
        <v>365</v>
      </c>
      <c r="BO167">
        <f t="shared" si="125"/>
        <v>334</v>
      </c>
      <c r="BP167">
        <f t="shared" si="125"/>
        <v>303</v>
      </c>
      <c r="BQ167">
        <f t="shared" si="125"/>
        <v>273</v>
      </c>
      <c r="BR167">
        <f t="shared" si="125"/>
        <v>242</v>
      </c>
      <c r="BS167">
        <f t="shared" si="125"/>
        <v>212</v>
      </c>
      <c r="BT167">
        <f t="shared" si="125"/>
        <v>181</v>
      </c>
    </row>
    <row r="168" spans="1:72" ht="12.95" customHeight="1" x14ac:dyDescent="0.2">
      <c r="A168">
        <f t="shared" si="126"/>
        <v>2026</v>
      </c>
      <c r="B168">
        <f t="shared" si="110"/>
        <v>8</v>
      </c>
      <c r="C168">
        <f t="shared" si="111"/>
        <v>3</v>
      </c>
      <c r="D168" s="11">
        <f>prod!A165</f>
        <v>46235</v>
      </c>
      <c r="E168" s="11">
        <f t="shared" si="112"/>
        <v>46599</v>
      </c>
      <c r="F168" s="10" t="str">
        <f>prod!B165</f>
        <v>בתי עסק</v>
      </c>
      <c r="G168" s="10" t="str">
        <f>prod!C165</f>
        <v>בתי עסק</v>
      </c>
      <c r="H168" s="10">
        <f>prod!D165</f>
        <v>185494</v>
      </c>
      <c r="I168" s="10">
        <f>SUMIFS(info!C:C,info!$A:$A,data!$A168,info!$B:$B,data!$G168)</f>
        <v>0.18</v>
      </c>
      <c r="J168" s="10">
        <f>SUMIFS(info!D:D,info!$A:$A,data!$A168,info!$B:$B,data!$G168)</f>
        <v>0.85</v>
      </c>
      <c r="K168" s="10">
        <f>SUMIFS(info!E:E,info!$A:$A,data!$A168,info!$B:$B,data!$G168)</f>
        <v>0.24340000000000001</v>
      </c>
      <c r="L168" s="10">
        <f>SUMIFS(info!F:F,info!$A:$A,data!$A168,info!$B:$B,data!$G168)</f>
        <v>0.7</v>
      </c>
      <c r="M168" s="10">
        <f>IF(SUMIFS(info!$C$25:$C$27,info!$A$25:$A$27,data!A168,info!$B$25:$B$27,data!F168)&lt;=0,1,SUMIFS(info!$C$25:$C$27,info!$A$25:$A$27,data!A168,info!$B$25:$B$27,data!F168))*H168</f>
        <v>185494</v>
      </c>
      <c r="N168" s="10">
        <f t="shared" si="113"/>
        <v>157669.9</v>
      </c>
      <c r="O168" s="10">
        <f t="shared" si="114"/>
        <v>33388.92</v>
      </c>
      <c r="P168" s="10">
        <f t="shared" si="115"/>
        <v>38376.853660000001</v>
      </c>
      <c r="Q168" s="10">
        <f t="shared" si="116"/>
        <v>129845.79999999999</v>
      </c>
      <c r="R168" s="10">
        <f t="shared" si="117"/>
        <v>110368.93</v>
      </c>
      <c r="S168" s="10">
        <f t="shared" si="118"/>
        <v>0</v>
      </c>
      <c r="T168" s="10">
        <f t="shared" si="127"/>
        <v>0</v>
      </c>
      <c r="U168" s="10">
        <f t="shared" si="127"/>
        <v>0</v>
      </c>
      <c r="V168" s="10">
        <f t="shared" si="127"/>
        <v>0</v>
      </c>
      <c r="W168" s="10">
        <f t="shared" si="127"/>
        <v>0</v>
      </c>
      <c r="X168" s="10">
        <f t="shared" si="127"/>
        <v>0</v>
      </c>
      <c r="Y168" s="10">
        <f t="shared" si="127"/>
        <v>154493.63287671233</v>
      </c>
      <c r="Z168" s="10">
        <f t="shared" si="127"/>
        <v>107738.98082191781</v>
      </c>
      <c r="AA168" s="10"/>
      <c r="AB168" s="10"/>
      <c r="AC168">
        <f t="shared" si="129"/>
        <v>0</v>
      </c>
      <c r="AD168">
        <f t="shared" si="129"/>
        <v>0</v>
      </c>
      <c r="AE168">
        <f t="shared" si="129"/>
        <v>0</v>
      </c>
      <c r="AF168">
        <f t="shared" si="129"/>
        <v>0</v>
      </c>
      <c r="AG168">
        <f t="shared" si="129"/>
        <v>0</v>
      </c>
      <c r="AH168">
        <f t="shared" si="129"/>
        <v>0</v>
      </c>
      <c r="AI168">
        <f t="shared" si="129"/>
        <v>0</v>
      </c>
      <c r="AJ168">
        <f t="shared" si="129"/>
        <v>0</v>
      </c>
      <c r="AK168">
        <f t="shared" si="129"/>
        <v>0</v>
      </c>
      <c r="AL168">
        <f t="shared" si="129"/>
        <v>0</v>
      </c>
      <c r="AM168">
        <f t="shared" si="129"/>
        <v>0</v>
      </c>
      <c r="AN168">
        <f t="shared" si="129"/>
        <v>0</v>
      </c>
      <c r="AO168">
        <f t="shared" si="129"/>
        <v>0</v>
      </c>
      <c r="AP168">
        <f t="shared" si="129"/>
        <v>0</v>
      </c>
      <c r="AQ168">
        <f t="shared" si="129"/>
        <v>0</v>
      </c>
      <c r="AR168">
        <f t="shared" si="128"/>
        <v>0</v>
      </c>
      <c r="AS168">
        <f t="shared" si="128"/>
        <v>365</v>
      </c>
      <c r="AT168">
        <f t="shared" si="128"/>
        <v>334</v>
      </c>
      <c r="AU168">
        <f t="shared" si="128"/>
        <v>304</v>
      </c>
      <c r="AV168">
        <f t="shared" si="128"/>
        <v>273</v>
      </c>
      <c r="AW168">
        <f t="shared" si="128"/>
        <v>243</v>
      </c>
      <c r="AX168">
        <f t="shared" si="128"/>
        <v>212</v>
      </c>
      <c r="AY168">
        <f t="shared" si="124"/>
        <v>0</v>
      </c>
      <c r="AZ168">
        <f t="shared" si="124"/>
        <v>0</v>
      </c>
      <c r="BA168">
        <f t="shared" si="124"/>
        <v>0</v>
      </c>
      <c r="BB168">
        <f t="shared" si="124"/>
        <v>0</v>
      </c>
      <c r="BC168">
        <f t="shared" si="124"/>
        <v>0</v>
      </c>
      <c r="BD168">
        <f t="shared" si="124"/>
        <v>0</v>
      </c>
      <c r="BE168">
        <f t="shared" si="124"/>
        <v>0</v>
      </c>
      <c r="BF168">
        <f t="shared" si="124"/>
        <v>0</v>
      </c>
      <c r="BG168">
        <f t="shared" si="124"/>
        <v>0</v>
      </c>
      <c r="BH168">
        <f t="shared" si="124"/>
        <v>0</v>
      </c>
      <c r="BI168">
        <f t="shared" si="125"/>
        <v>0</v>
      </c>
      <c r="BJ168">
        <f t="shared" si="125"/>
        <v>0</v>
      </c>
      <c r="BK168">
        <f t="shared" si="125"/>
        <v>0</v>
      </c>
      <c r="BL168">
        <f t="shared" si="125"/>
        <v>0</v>
      </c>
      <c r="BM168">
        <f t="shared" si="125"/>
        <v>0</v>
      </c>
      <c r="BN168">
        <f t="shared" si="125"/>
        <v>0</v>
      </c>
      <c r="BO168">
        <f t="shared" si="125"/>
        <v>365</v>
      </c>
      <c r="BP168">
        <f t="shared" si="125"/>
        <v>334</v>
      </c>
      <c r="BQ168">
        <f t="shared" si="125"/>
        <v>304</v>
      </c>
      <c r="BR168">
        <f t="shared" si="125"/>
        <v>273</v>
      </c>
      <c r="BS168">
        <f t="shared" si="125"/>
        <v>243</v>
      </c>
      <c r="BT168">
        <f t="shared" si="125"/>
        <v>212</v>
      </c>
    </row>
    <row r="169" spans="1:72" ht="12.95" customHeight="1" x14ac:dyDescent="0.2">
      <c r="A169">
        <f t="shared" si="126"/>
        <v>2026</v>
      </c>
      <c r="B169">
        <f t="shared" si="110"/>
        <v>9</v>
      </c>
      <c r="C169">
        <f t="shared" si="111"/>
        <v>3</v>
      </c>
      <c r="D169" s="11">
        <f>prod!A166</f>
        <v>46266</v>
      </c>
      <c r="E169" s="11">
        <f t="shared" si="112"/>
        <v>46630</v>
      </c>
      <c r="F169" s="10" t="str">
        <f>prod!B166</f>
        <v>בתי עסק</v>
      </c>
      <c r="G169" s="10" t="str">
        <f>prod!C166</f>
        <v>בתי עסק</v>
      </c>
      <c r="H169" s="10">
        <f>prod!D166</f>
        <v>204044</v>
      </c>
      <c r="I169" s="10">
        <f>SUMIFS(info!C:C,info!$A:$A,data!$A169,info!$B:$B,data!$G169)</f>
        <v>0.18</v>
      </c>
      <c r="J169" s="10">
        <f>SUMIFS(info!D:D,info!$A:$A,data!$A169,info!$B:$B,data!$G169)</f>
        <v>0.85</v>
      </c>
      <c r="K169" s="10">
        <f>SUMIFS(info!E:E,info!$A:$A,data!$A169,info!$B:$B,data!$G169)</f>
        <v>0.24340000000000001</v>
      </c>
      <c r="L169" s="10">
        <f>SUMIFS(info!F:F,info!$A:$A,data!$A169,info!$B:$B,data!$G169)</f>
        <v>0.7</v>
      </c>
      <c r="M169" s="10">
        <f>IF(SUMIFS(info!$C$25:$C$27,info!$A$25:$A$27,data!A169,info!$B$25:$B$27,data!F169)&lt;=0,1,SUMIFS(info!$C$25:$C$27,info!$A$25:$A$27,data!A169,info!$B$25:$B$27,data!F169))*H169</f>
        <v>204044</v>
      </c>
      <c r="N169" s="10">
        <f t="shared" si="113"/>
        <v>173437.4</v>
      </c>
      <c r="O169" s="10">
        <f t="shared" si="114"/>
        <v>36727.919999999998</v>
      </c>
      <c r="P169" s="10">
        <f t="shared" si="115"/>
        <v>42214.663159999996</v>
      </c>
      <c r="Q169" s="10">
        <f t="shared" si="116"/>
        <v>142830.79999999999</v>
      </c>
      <c r="R169" s="10">
        <f t="shared" si="117"/>
        <v>121406.18</v>
      </c>
      <c r="S169" s="10">
        <f t="shared" si="118"/>
        <v>0</v>
      </c>
      <c r="T169" s="10">
        <f t="shared" si="127"/>
        <v>0</v>
      </c>
      <c r="U169" s="10">
        <f t="shared" si="127"/>
        <v>0</v>
      </c>
      <c r="V169" s="10">
        <f t="shared" si="127"/>
        <v>0</v>
      </c>
      <c r="W169" s="10">
        <f t="shared" si="127"/>
        <v>0</v>
      </c>
      <c r="X169" s="10">
        <f t="shared" si="127"/>
        <v>0</v>
      </c>
      <c r="Y169" s="10">
        <f t="shared" si="127"/>
        <v>187273.26027397261</v>
      </c>
      <c r="Z169" s="10">
        <f t="shared" si="127"/>
        <v>135842.9917808219</v>
      </c>
      <c r="AA169" s="10"/>
      <c r="AB169" s="10"/>
      <c r="AC169">
        <f t="shared" si="129"/>
        <v>0</v>
      </c>
      <c r="AD169">
        <f t="shared" si="129"/>
        <v>0</v>
      </c>
      <c r="AE169">
        <f t="shared" si="129"/>
        <v>0</v>
      </c>
      <c r="AF169">
        <f t="shared" si="129"/>
        <v>0</v>
      </c>
      <c r="AG169">
        <f t="shared" si="129"/>
        <v>0</v>
      </c>
      <c r="AH169">
        <f t="shared" si="129"/>
        <v>0</v>
      </c>
      <c r="AI169">
        <f t="shared" si="129"/>
        <v>0</v>
      </c>
      <c r="AJ169">
        <f t="shared" si="129"/>
        <v>0</v>
      </c>
      <c r="AK169">
        <f t="shared" si="129"/>
        <v>0</v>
      </c>
      <c r="AL169">
        <f t="shared" si="129"/>
        <v>0</v>
      </c>
      <c r="AM169">
        <f t="shared" si="129"/>
        <v>0</v>
      </c>
      <c r="AN169">
        <f t="shared" si="129"/>
        <v>0</v>
      </c>
      <c r="AO169">
        <f t="shared" si="129"/>
        <v>0</v>
      </c>
      <c r="AP169">
        <f t="shared" si="129"/>
        <v>0</v>
      </c>
      <c r="AQ169">
        <f t="shared" si="129"/>
        <v>0</v>
      </c>
      <c r="AR169">
        <f t="shared" si="128"/>
        <v>0</v>
      </c>
      <c r="AS169">
        <f t="shared" si="128"/>
        <v>0</v>
      </c>
      <c r="AT169">
        <f t="shared" si="128"/>
        <v>365</v>
      </c>
      <c r="AU169">
        <f t="shared" si="128"/>
        <v>335</v>
      </c>
      <c r="AV169">
        <f t="shared" si="128"/>
        <v>304</v>
      </c>
      <c r="AW169">
        <f t="shared" si="128"/>
        <v>274</v>
      </c>
      <c r="AX169">
        <f t="shared" si="128"/>
        <v>243</v>
      </c>
      <c r="AY169">
        <f t="shared" si="124"/>
        <v>0</v>
      </c>
      <c r="AZ169">
        <f t="shared" si="124"/>
        <v>0</v>
      </c>
      <c r="BA169">
        <f t="shared" si="124"/>
        <v>0</v>
      </c>
      <c r="BB169">
        <f t="shared" si="124"/>
        <v>0</v>
      </c>
      <c r="BC169">
        <f t="shared" si="124"/>
        <v>0</v>
      </c>
      <c r="BD169">
        <f t="shared" si="124"/>
        <v>0</v>
      </c>
      <c r="BE169">
        <f t="shared" si="124"/>
        <v>0</v>
      </c>
      <c r="BF169">
        <f t="shared" si="124"/>
        <v>0</v>
      </c>
      <c r="BG169">
        <f t="shared" si="124"/>
        <v>0</v>
      </c>
      <c r="BH169">
        <f t="shared" si="124"/>
        <v>0</v>
      </c>
      <c r="BI169">
        <f t="shared" si="125"/>
        <v>0</v>
      </c>
      <c r="BJ169">
        <f t="shared" si="125"/>
        <v>0</v>
      </c>
      <c r="BK169">
        <f t="shared" si="125"/>
        <v>0</v>
      </c>
      <c r="BL169">
        <f t="shared" si="125"/>
        <v>0</v>
      </c>
      <c r="BM169">
        <f t="shared" si="125"/>
        <v>0</v>
      </c>
      <c r="BN169">
        <f t="shared" si="125"/>
        <v>0</v>
      </c>
      <c r="BO169">
        <f t="shared" si="125"/>
        <v>0</v>
      </c>
      <c r="BP169">
        <f t="shared" si="125"/>
        <v>365</v>
      </c>
      <c r="BQ169">
        <f t="shared" si="125"/>
        <v>335</v>
      </c>
      <c r="BR169">
        <f t="shared" si="125"/>
        <v>304</v>
      </c>
      <c r="BS169">
        <f t="shared" si="125"/>
        <v>274</v>
      </c>
      <c r="BT169">
        <f t="shared" si="125"/>
        <v>243</v>
      </c>
    </row>
    <row r="170" spans="1:72" ht="12.95" customHeight="1" x14ac:dyDescent="0.2">
      <c r="A170">
        <f t="shared" si="126"/>
        <v>2026</v>
      </c>
      <c r="B170">
        <f t="shared" si="110"/>
        <v>10</v>
      </c>
      <c r="C170">
        <f t="shared" si="111"/>
        <v>4</v>
      </c>
      <c r="D170" s="11">
        <f>prod!A167</f>
        <v>46296</v>
      </c>
      <c r="E170" s="11">
        <f t="shared" si="112"/>
        <v>46660</v>
      </c>
      <c r="F170" s="10" t="str">
        <f>prod!B167</f>
        <v>בתי עסק</v>
      </c>
      <c r="G170" s="10" t="str">
        <f>prod!C167</f>
        <v>בתי עסק</v>
      </c>
      <c r="H170" s="10">
        <f>prod!D167</f>
        <v>251411</v>
      </c>
      <c r="I170" s="10">
        <f>SUMIFS(info!C:C,info!$A:$A,data!$A170,info!$B:$B,data!$G170)</f>
        <v>0.18</v>
      </c>
      <c r="J170" s="10">
        <f>SUMIFS(info!D:D,info!$A:$A,data!$A170,info!$B:$B,data!$G170)</f>
        <v>0.85</v>
      </c>
      <c r="K170" s="10">
        <f>SUMIFS(info!E:E,info!$A:$A,data!$A170,info!$B:$B,data!$G170)</f>
        <v>0.24340000000000001</v>
      </c>
      <c r="L170" s="10">
        <f>SUMIFS(info!F:F,info!$A:$A,data!$A170,info!$B:$B,data!$G170)</f>
        <v>0.7</v>
      </c>
      <c r="M170" s="10">
        <f>IF(SUMIFS(info!$C$25:$C$27,info!$A$25:$A$27,data!A170,info!$B$25:$B$27,data!F170)&lt;=0,1,SUMIFS(info!$C$25:$C$27,info!$A$25:$A$27,data!A170,info!$B$25:$B$27,data!F170))*H170</f>
        <v>251411</v>
      </c>
      <c r="N170" s="10">
        <f t="shared" si="113"/>
        <v>213699.35</v>
      </c>
      <c r="O170" s="10">
        <f t="shared" si="114"/>
        <v>45253.979999999996</v>
      </c>
      <c r="P170" s="10">
        <f t="shared" si="115"/>
        <v>52014.42179</v>
      </c>
      <c r="Q170" s="10">
        <f t="shared" si="116"/>
        <v>175987.69999999998</v>
      </c>
      <c r="R170" s="10">
        <f t="shared" si="117"/>
        <v>149589.54499999998</v>
      </c>
      <c r="S170" s="10">
        <f t="shared" si="118"/>
        <v>0</v>
      </c>
      <c r="T170" s="10">
        <f t="shared" si="127"/>
        <v>0</v>
      </c>
      <c r="U170" s="10">
        <f t="shared" si="127"/>
        <v>0</v>
      </c>
      <c r="V170" s="10">
        <f t="shared" si="127"/>
        <v>0</v>
      </c>
      <c r="W170" s="10">
        <f t="shared" si="127"/>
        <v>0</v>
      </c>
      <c r="X170" s="10">
        <f t="shared" si="127"/>
        <v>0</v>
      </c>
      <c r="Y170" s="10">
        <f t="shared" si="127"/>
        <v>0</v>
      </c>
      <c r="Z170" s="10">
        <f t="shared" si="127"/>
        <v>188041.65205479451</v>
      </c>
      <c r="AA170" s="10"/>
      <c r="AB170" s="10"/>
      <c r="AC170">
        <f t="shared" si="129"/>
        <v>0</v>
      </c>
      <c r="AD170">
        <f t="shared" si="129"/>
        <v>0</v>
      </c>
      <c r="AE170">
        <f t="shared" si="129"/>
        <v>0</v>
      </c>
      <c r="AF170">
        <f t="shared" si="129"/>
        <v>0</v>
      </c>
      <c r="AG170">
        <f t="shared" si="129"/>
        <v>0</v>
      </c>
      <c r="AH170">
        <f t="shared" si="129"/>
        <v>0</v>
      </c>
      <c r="AI170">
        <f t="shared" si="129"/>
        <v>0</v>
      </c>
      <c r="AJ170">
        <f t="shared" si="129"/>
        <v>0</v>
      </c>
      <c r="AK170">
        <f t="shared" si="129"/>
        <v>0</v>
      </c>
      <c r="AL170">
        <f t="shared" si="129"/>
        <v>0</v>
      </c>
      <c r="AM170">
        <f t="shared" si="129"/>
        <v>0</v>
      </c>
      <c r="AN170">
        <f t="shared" si="129"/>
        <v>0</v>
      </c>
      <c r="AO170">
        <f t="shared" si="129"/>
        <v>0</v>
      </c>
      <c r="AP170">
        <f t="shared" si="129"/>
        <v>0</v>
      </c>
      <c r="AQ170">
        <f t="shared" si="129"/>
        <v>0</v>
      </c>
      <c r="AR170">
        <f t="shared" si="128"/>
        <v>0</v>
      </c>
      <c r="AS170">
        <f t="shared" si="128"/>
        <v>0</v>
      </c>
      <c r="AT170">
        <f t="shared" si="128"/>
        <v>0</v>
      </c>
      <c r="AU170">
        <f t="shared" si="128"/>
        <v>365</v>
      </c>
      <c r="AV170">
        <f t="shared" si="128"/>
        <v>334</v>
      </c>
      <c r="AW170">
        <f t="shared" si="128"/>
        <v>304</v>
      </c>
      <c r="AX170">
        <f t="shared" si="128"/>
        <v>273</v>
      </c>
      <c r="AY170">
        <f t="shared" si="124"/>
        <v>0</v>
      </c>
      <c r="AZ170">
        <f t="shared" si="124"/>
        <v>0</v>
      </c>
      <c r="BA170">
        <f t="shared" si="124"/>
        <v>0</v>
      </c>
      <c r="BB170">
        <f t="shared" si="124"/>
        <v>0</v>
      </c>
      <c r="BC170">
        <f t="shared" si="124"/>
        <v>0</v>
      </c>
      <c r="BD170">
        <f t="shared" si="124"/>
        <v>0</v>
      </c>
      <c r="BE170">
        <f t="shared" si="124"/>
        <v>0</v>
      </c>
      <c r="BF170">
        <f t="shared" si="124"/>
        <v>0</v>
      </c>
      <c r="BG170">
        <f t="shared" si="124"/>
        <v>0</v>
      </c>
      <c r="BH170">
        <f t="shared" si="124"/>
        <v>0</v>
      </c>
      <c r="BI170">
        <f t="shared" si="125"/>
        <v>0</v>
      </c>
      <c r="BJ170">
        <f t="shared" si="125"/>
        <v>0</v>
      </c>
      <c r="BK170">
        <f t="shared" si="125"/>
        <v>0</v>
      </c>
      <c r="BL170">
        <f t="shared" si="125"/>
        <v>0</v>
      </c>
      <c r="BM170">
        <f t="shared" si="125"/>
        <v>0</v>
      </c>
      <c r="BN170">
        <f t="shared" si="125"/>
        <v>0</v>
      </c>
      <c r="BO170">
        <f t="shared" si="125"/>
        <v>0</v>
      </c>
      <c r="BP170">
        <f t="shared" si="125"/>
        <v>0</v>
      </c>
      <c r="BQ170">
        <f t="shared" si="125"/>
        <v>365</v>
      </c>
      <c r="BR170">
        <f t="shared" si="125"/>
        <v>334</v>
      </c>
      <c r="BS170">
        <f t="shared" si="125"/>
        <v>304</v>
      </c>
      <c r="BT170">
        <f t="shared" si="125"/>
        <v>273</v>
      </c>
    </row>
    <row r="171" spans="1:72" ht="12.95" customHeight="1" x14ac:dyDescent="0.2">
      <c r="A171">
        <f t="shared" si="126"/>
        <v>2026</v>
      </c>
      <c r="B171">
        <f t="shared" si="110"/>
        <v>11</v>
      </c>
      <c r="C171">
        <f t="shared" si="111"/>
        <v>4</v>
      </c>
      <c r="D171" s="11">
        <f>prod!A168</f>
        <v>46327</v>
      </c>
      <c r="E171" s="11">
        <f t="shared" si="112"/>
        <v>46691</v>
      </c>
      <c r="F171" s="10" t="str">
        <f>prod!B168</f>
        <v>בתי עסק</v>
      </c>
      <c r="G171" s="10" t="str">
        <f>prod!C168</f>
        <v>בתי עסק</v>
      </c>
      <c r="H171" s="10">
        <f>prod!D168</f>
        <v>377117</v>
      </c>
      <c r="I171" s="10">
        <f>SUMIFS(info!C:C,info!$A:$A,data!$A171,info!$B:$B,data!$G171)</f>
        <v>0.18</v>
      </c>
      <c r="J171" s="10">
        <f>SUMIFS(info!D:D,info!$A:$A,data!$A171,info!$B:$B,data!$G171)</f>
        <v>0.85</v>
      </c>
      <c r="K171" s="10">
        <f>SUMIFS(info!E:E,info!$A:$A,data!$A171,info!$B:$B,data!$G171)</f>
        <v>0.24340000000000001</v>
      </c>
      <c r="L171" s="10">
        <f>SUMIFS(info!F:F,info!$A:$A,data!$A171,info!$B:$B,data!$G171)</f>
        <v>0.7</v>
      </c>
      <c r="M171" s="10">
        <f>IF(SUMIFS(info!$C$25:$C$27,info!$A$25:$A$27,data!A171,info!$B$25:$B$27,data!F171)&lt;=0,1,SUMIFS(info!$C$25:$C$27,info!$A$25:$A$27,data!A171,info!$B$25:$B$27,data!F171))*H171</f>
        <v>377117</v>
      </c>
      <c r="N171" s="10">
        <f t="shared" si="113"/>
        <v>320549.45</v>
      </c>
      <c r="O171" s="10">
        <f t="shared" si="114"/>
        <v>67881.06</v>
      </c>
      <c r="P171" s="10">
        <f t="shared" si="115"/>
        <v>78021.736130000005</v>
      </c>
      <c r="Q171" s="10">
        <f t="shared" si="116"/>
        <v>263981.89999999997</v>
      </c>
      <c r="R171" s="10">
        <f t="shared" si="117"/>
        <v>224384.61499999996</v>
      </c>
      <c r="S171" s="10">
        <f t="shared" si="118"/>
        <v>0</v>
      </c>
      <c r="T171" s="10">
        <f t="shared" si="127"/>
        <v>0</v>
      </c>
      <c r="U171" s="10">
        <f t="shared" si="127"/>
        <v>0</v>
      </c>
      <c r="V171" s="10">
        <f t="shared" si="127"/>
        <v>0</v>
      </c>
      <c r="W171" s="10">
        <f t="shared" si="127"/>
        <v>0</v>
      </c>
      <c r="X171" s="10">
        <f t="shared" si="127"/>
        <v>0</v>
      </c>
      <c r="Y171" s="10">
        <f t="shared" si="127"/>
        <v>0</v>
      </c>
      <c r="Z171" s="10">
        <f t="shared" si="127"/>
        <v>314091.96712328767</v>
      </c>
      <c r="AA171" s="10"/>
      <c r="AB171" s="10"/>
      <c r="AC171">
        <f t="shared" si="129"/>
        <v>0</v>
      </c>
      <c r="AD171">
        <f t="shared" si="129"/>
        <v>0</v>
      </c>
      <c r="AE171">
        <f t="shared" si="129"/>
        <v>0</v>
      </c>
      <c r="AF171">
        <f t="shared" si="129"/>
        <v>0</v>
      </c>
      <c r="AG171">
        <f t="shared" si="129"/>
        <v>0</v>
      </c>
      <c r="AH171">
        <f t="shared" si="129"/>
        <v>0</v>
      </c>
      <c r="AI171">
        <f t="shared" si="129"/>
        <v>0</v>
      </c>
      <c r="AJ171">
        <f t="shared" si="129"/>
        <v>0</v>
      </c>
      <c r="AK171">
        <f t="shared" si="129"/>
        <v>0</v>
      </c>
      <c r="AL171">
        <f t="shared" si="129"/>
        <v>0</v>
      </c>
      <c r="AM171">
        <f t="shared" si="129"/>
        <v>0</v>
      </c>
      <c r="AN171">
        <f t="shared" si="129"/>
        <v>0</v>
      </c>
      <c r="AO171">
        <f t="shared" si="129"/>
        <v>0</v>
      </c>
      <c r="AP171">
        <f t="shared" si="129"/>
        <v>0</v>
      </c>
      <c r="AQ171">
        <f t="shared" si="129"/>
        <v>0</v>
      </c>
      <c r="AR171">
        <f t="shared" si="128"/>
        <v>0</v>
      </c>
      <c r="AS171">
        <f t="shared" si="128"/>
        <v>0</v>
      </c>
      <c r="AT171">
        <f t="shared" si="128"/>
        <v>0</v>
      </c>
      <c r="AU171">
        <f t="shared" si="128"/>
        <v>0</v>
      </c>
      <c r="AV171">
        <f t="shared" si="128"/>
        <v>365</v>
      </c>
      <c r="AW171">
        <f t="shared" si="128"/>
        <v>335</v>
      </c>
      <c r="AX171">
        <f t="shared" si="128"/>
        <v>304</v>
      </c>
      <c r="AY171">
        <f t="shared" si="124"/>
        <v>0</v>
      </c>
      <c r="AZ171">
        <f t="shared" si="124"/>
        <v>0</v>
      </c>
      <c r="BA171">
        <f t="shared" si="124"/>
        <v>0</v>
      </c>
      <c r="BB171">
        <f t="shared" si="124"/>
        <v>0</v>
      </c>
      <c r="BC171">
        <f t="shared" si="124"/>
        <v>0</v>
      </c>
      <c r="BD171">
        <f t="shared" si="124"/>
        <v>0</v>
      </c>
      <c r="BE171">
        <f t="shared" si="124"/>
        <v>0</v>
      </c>
      <c r="BF171">
        <f t="shared" si="124"/>
        <v>0</v>
      </c>
      <c r="BG171">
        <f t="shared" si="124"/>
        <v>0</v>
      </c>
      <c r="BH171">
        <f t="shared" si="124"/>
        <v>0</v>
      </c>
      <c r="BI171">
        <f t="shared" si="125"/>
        <v>0</v>
      </c>
      <c r="BJ171">
        <f t="shared" si="125"/>
        <v>0</v>
      </c>
      <c r="BK171">
        <f t="shared" si="125"/>
        <v>0</v>
      </c>
      <c r="BL171">
        <f t="shared" si="125"/>
        <v>0</v>
      </c>
      <c r="BM171">
        <f t="shared" si="125"/>
        <v>0</v>
      </c>
      <c r="BN171">
        <f t="shared" si="125"/>
        <v>0</v>
      </c>
      <c r="BO171">
        <f t="shared" si="125"/>
        <v>0</v>
      </c>
      <c r="BP171">
        <f t="shared" si="125"/>
        <v>0</v>
      </c>
      <c r="BQ171">
        <f t="shared" si="125"/>
        <v>0</v>
      </c>
      <c r="BR171">
        <f t="shared" si="125"/>
        <v>365</v>
      </c>
      <c r="BS171">
        <f t="shared" si="125"/>
        <v>335</v>
      </c>
      <c r="BT171">
        <f t="shared" si="125"/>
        <v>304</v>
      </c>
    </row>
    <row r="172" spans="1:72" ht="12.95" customHeight="1" x14ac:dyDescent="0.2">
      <c r="A172">
        <f t="shared" si="126"/>
        <v>2026</v>
      </c>
      <c r="B172">
        <f t="shared" si="110"/>
        <v>12</v>
      </c>
      <c r="C172">
        <f t="shared" si="111"/>
        <v>4</v>
      </c>
      <c r="D172" s="11">
        <f>prod!A169</f>
        <v>46357</v>
      </c>
      <c r="E172" s="11">
        <f t="shared" si="112"/>
        <v>46721</v>
      </c>
      <c r="F172" s="10" t="str">
        <f>prod!B169</f>
        <v>בתי עסק</v>
      </c>
      <c r="G172" s="10" t="str">
        <f>prod!C169</f>
        <v>בתי עסק</v>
      </c>
      <c r="H172" s="10">
        <f>prod!D169</f>
        <v>565675</v>
      </c>
      <c r="I172" s="10">
        <f>SUMIFS(info!C:C,info!$A:$A,data!$A172,info!$B:$B,data!$G172)</f>
        <v>0.18</v>
      </c>
      <c r="J172" s="10">
        <f>SUMIFS(info!D:D,info!$A:$A,data!$A172,info!$B:$B,data!$G172)</f>
        <v>0.85</v>
      </c>
      <c r="K172" s="10">
        <f>SUMIFS(info!E:E,info!$A:$A,data!$A172,info!$B:$B,data!$G172)</f>
        <v>0.24340000000000001</v>
      </c>
      <c r="L172" s="10">
        <f>SUMIFS(info!F:F,info!$A:$A,data!$A172,info!$B:$B,data!$G172)</f>
        <v>0.7</v>
      </c>
      <c r="M172" s="10">
        <f>IF(SUMIFS(info!$C$25:$C$27,info!$A$25:$A$27,data!A172,info!$B$25:$B$27,data!F172)&lt;=0,1,SUMIFS(info!$C$25:$C$27,info!$A$25:$A$27,data!A172,info!$B$25:$B$27,data!F172))*H172</f>
        <v>565675</v>
      </c>
      <c r="N172" s="10">
        <f t="shared" si="113"/>
        <v>480823.75</v>
      </c>
      <c r="O172" s="10">
        <f t="shared" si="114"/>
        <v>101821.5</v>
      </c>
      <c r="P172" s="10">
        <f t="shared" si="115"/>
        <v>117032.50075000001</v>
      </c>
      <c r="Q172" s="10">
        <f t="shared" si="116"/>
        <v>395972.5</v>
      </c>
      <c r="R172" s="10">
        <f t="shared" si="117"/>
        <v>336576.625</v>
      </c>
      <c r="S172" s="10">
        <f t="shared" si="118"/>
        <v>0</v>
      </c>
      <c r="T172" s="10">
        <f t="shared" si="127"/>
        <v>0</v>
      </c>
      <c r="U172" s="10">
        <f t="shared" si="127"/>
        <v>0</v>
      </c>
      <c r="V172" s="10">
        <f t="shared" si="127"/>
        <v>0</v>
      </c>
      <c r="W172" s="10">
        <f t="shared" si="127"/>
        <v>0</v>
      </c>
      <c r="X172" s="10">
        <f t="shared" si="127"/>
        <v>0</v>
      </c>
      <c r="Y172" s="10">
        <f t="shared" si="127"/>
        <v>0</v>
      </c>
      <c r="Z172" s="10">
        <f t="shared" si="127"/>
        <v>517631.36986301368</v>
      </c>
      <c r="AA172" s="10"/>
      <c r="AB172" s="10"/>
      <c r="AC172">
        <f t="shared" si="129"/>
        <v>0</v>
      </c>
      <c r="AD172">
        <f t="shared" si="129"/>
        <v>0</v>
      </c>
      <c r="AE172">
        <f t="shared" si="129"/>
        <v>0</v>
      </c>
      <c r="AF172">
        <f t="shared" si="129"/>
        <v>0</v>
      </c>
      <c r="AG172">
        <f t="shared" si="129"/>
        <v>0</v>
      </c>
      <c r="AH172">
        <f t="shared" si="129"/>
        <v>0</v>
      </c>
      <c r="AI172">
        <f t="shared" si="129"/>
        <v>0</v>
      </c>
      <c r="AJ172">
        <f t="shared" si="129"/>
        <v>0</v>
      </c>
      <c r="AK172">
        <f t="shared" si="129"/>
        <v>0</v>
      </c>
      <c r="AL172">
        <f t="shared" si="129"/>
        <v>0</v>
      </c>
      <c r="AM172">
        <f t="shared" si="129"/>
        <v>0</v>
      </c>
      <c r="AN172">
        <f t="shared" si="129"/>
        <v>0</v>
      </c>
      <c r="AO172">
        <f t="shared" si="129"/>
        <v>0</v>
      </c>
      <c r="AP172">
        <f t="shared" si="129"/>
        <v>0</v>
      </c>
      <c r="AQ172">
        <f t="shared" si="129"/>
        <v>0</v>
      </c>
      <c r="AR172">
        <f t="shared" si="128"/>
        <v>0</v>
      </c>
      <c r="AS172">
        <f t="shared" si="128"/>
        <v>0</v>
      </c>
      <c r="AT172">
        <f t="shared" si="128"/>
        <v>0</v>
      </c>
      <c r="AU172">
        <f t="shared" si="128"/>
        <v>0</v>
      </c>
      <c r="AV172">
        <f t="shared" si="128"/>
        <v>0</v>
      </c>
      <c r="AW172">
        <f t="shared" si="128"/>
        <v>365</v>
      </c>
      <c r="AX172">
        <f t="shared" si="128"/>
        <v>334</v>
      </c>
      <c r="AY172">
        <f t="shared" si="124"/>
        <v>0</v>
      </c>
      <c r="AZ172">
        <f t="shared" si="124"/>
        <v>0</v>
      </c>
      <c r="BA172">
        <f t="shared" si="124"/>
        <v>0</v>
      </c>
      <c r="BB172">
        <f t="shared" si="124"/>
        <v>0</v>
      </c>
      <c r="BC172">
        <f t="shared" si="124"/>
        <v>0</v>
      </c>
      <c r="BD172">
        <f t="shared" si="124"/>
        <v>0</v>
      </c>
      <c r="BE172">
        <f t="shared" si="124"/>
        <v>0</v>
      </c>
      <c r="BF172">
        <f t="shared" si="124"/>
        <v>0</v>
      </c>
      <c r="BG172">
        <f t="shared" si="124"/>
        <v>0</v>
      </c>
      <c r="BH172">
        <f t="shared" si="124"/>
        <v>0</v>
      </c>
      <c r="BI172">
        <f t="shared" si="125"/>
        <v>0</v>
      </c>
      <c r="BJ172">
        <f t="shared" si="125"/>
        <v>0</v>
      </c>
      <c r="BK172">
        <f t="shared" si="125"/>
        <v>0</v>
      </c>
      <c r="BL172">
        <f t="shared" si="125"/>
        <v>0</v>
      </c>
      <c r="BM172">
        <f t="shared" si="125"/>
        <v>0</v>
      </c>
      <c r="BN172">
        <f t="shared" si="125"/>
        <v>0</v>
      </c>
      <c r="BO172">
        <f t="shared" si="125"/>
        <v>0</v>
      </c>
      <c r="BP172">
        <f t="shared" si="125"/>
        <v>0</v>
      </c>
      <c r="BQ172">
        <f t="shared" si="125"/>
        <v>0</v>
      </c>
      <c r="BR172">
        <f t="shared" si="125"/>
        <v>0</v>
      </c>
      <c r="BS172">
        <f t="shared" si="125"/>
        <v>365</v>
      </c>
      <c r="BT172">
        <f t="shared" si="125"/>
        <v>334</v>
      </c>
    </row>
    <row r="173" spans="1:72" ht="12.95" hidden="1" customHeight="1" x14ac:dyDescent="0.2">
      <c r="H173" s="10">
        <f>SUM(H5:H172)</f>
        <v>476342557</v>
      </c>
      <c r="I173" s="10"/>
      <c r="J173" s="10"/>
      <c r="K173" s="10"/>
      <c r="L173" s="10"/>
      <c r="M173" s="10">
        <f t="shared" ref="M173:R173" si="130">SUM(M5:M172)</f>
        <v>430298125.65799993</v>
      </c>
      <c r="N173" s="10">
        <f t="shared" si="130"/>
        <v>324818373.28999943</v>
      </c>
      <c r="O173" s="10">
        <f t="shared" si="130"/>
        <v>44787642.550000049</v>
      </c>
      <c r="P173" s="10">
        <f t="shared" si="130"/>
        <v>59638658.073988065</v>
      </c>
      <c r="Q173" s="10">
        <f t="shared" si="130"/>
        <v>383728443.69999927</v>
      </c>
      <c r="R173" s="10">
        <f t="shared" si="130"/>
        <v>255450628.31100026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72" ht="12.95" customHeight="1" x14ac:dyDescent="0.2"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72" ht="12.95" customHeight="1" x14ac:dyDescent="0.2"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72" ht="12.95" customHeight="1" x14ac:dyDescent="0.2">
      <c r="M176" s="10">
        <f>SUBTOTAL(9,M5:M173)</f>
        <v>430298125.65799993</v>
      </c>
    </row>
  </sheetData>
  <autoFilter ref="A4:Z173" xr:uid="{5254EDA7-D0B4-4CC1-992A-8C5113676BC4}">
    <filterColumn colId="0">
      <customFilters>
        <customFilter operator="notEqual" val=" "/>
      </customFilters>
    </filterColumn>
  </autoFilter>
  <dataConsolidate/>
  <pageMargins left="0.7" right="0.7" top="0.75" bottom="0.75" header="0.3" footer="0.3"/>
  <pageSetup scale="8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30C8-FEE2-4C3B-90F9-D44C3BC5A380}">
  <dimension ref="A1:G12"/>
  <sheetViews>
    <sheetView rightToLeft="1" workbookViewId="0">
      <selection activeCell="B2" sqref="B2"/>
    </sheetView>
  </sheetViews>
  <sheetFormatPr defaultRowHeight="14.25" x14ac:dyDescent="0.2"/>
  <cols>
    <col min="1" max="1" width="15.25" customWidth="1"/>
    <col min="2" max="2" width="11.75" customWidth="1"/>
    <col min="3" max="3" width="10.375" bestFit="1" customWidth="1"/>
    <col min="4" max="4" width="14.75" customWidth="1"/>
    <col min="5" max="5" width="13.5" customWidth="1"/>
    <col min="6" max="6" width="15" customWidth="1"/>
  </cols>
  <sheetData>
    <row r="1" spans="1:7" x14ac:dyDescent="0.2">
      <c r="A1" t="s">
        <v>33</v>
      </c>
      <c r="B1">
        <v>2026</v>
      </c>
      <c r="C1" t="s">
        <v>88</v>
      </c>
      <c r="E1" t="s">
        <v>86</v>
      </c>
    </row>
    <row r="2" spans="1:7" x14ac:dyDescent="0.2">
      <c r="A2" t="s">
        <v>85</v>
      </c>
      <c r="B2">
        <v>4</v>
      </c>
      <c r="C2" t="s">
        <v>89</v>
      </c>
    </row>
    <row r="3" spans="1:7" x14ac:dyDescent="0.2">
      <c r="A3" t="s">
        <v>67</v>
      </c>
    </row>
    <row r="4" spans="1:7" x14ac:dyDescent="0.2">
      <c r="A4" t="s">
        <v>87</v>
      </c>
    </row>
    <row r="6" spans="1:7" x14ac:dyDescent="0.2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7" x14ac:dyDescent="0.2">
      <c r="A7" t="s">
        <v>71</v>
      </c>
      <c r="B7" s="10" cm="1">
        <f t="array" ref="B7">SUMPRODUCT((data!$M$5:$R$100)*(data!$A$5:$A$100=doc!$B$1)*(data!$C$5:$C$100&lt;=doc!$B$2) * (data!$F$5:$F$100=doc!B$6) * (data!$M$4:$R$4=doc!$A7))</f>
        <v>71461024.260000005</v>
      </c>
      <c r="C7" s="10" cm="1">
        <f t="array" ref="C7">SUMPRODUCT((data!$M$5:$R$100)*(data!$A$5:$A$100=doc!$B$1)*(data!$C$5:$C$100&lt;=doc!$B$2) * (data!$F$5:$F$100=doc!C$6) * (data!$M$4:$R$4=doc!$A7))</f>
        <v>74169462.273999989</v>
      </c>
      <c r="D7" s="10" cm="1">
        <f t="array" ref="D7">SUMPRODUCT((data!$M$5:$R$100)*(data!$A$5:$A$100=doc!$B$1)*(data!$C$5:$C$100&lt;=doc!$B$2) * (data!$F$5:$F$100=doc!D$6) * (data!$M$4:$R$4=doc!$A7))</f>
        <v>138091362</v>
      </c>
      <c r="E7" s="30" cm="1">
        <f t="array" ref="E7">SUMPRODUCT((data!$M$5:$R$100)*(data!$A$5:$A$100=doc!$B$1)*(data!$C$5:$C$100&lt;=doc!$B$2) * (data!$F$5:$F$100=doc!E$6) * (data!$M$4:$R$4=doc!$A7))</f>
        <v>0</v>
      </c>
      <c r="F7" s="10" cm="1">
        <f t="array" ref="F7">SUMPRODUCT((data!$M$5:$R$100)*(data!$A$5:$A$100=doc!$B$1)*(data!$C$5:$C$100&lt;=doc!$B$2) * (data!$F$5:$F$100=doc!F$6) * (data!$M$4:$R$4=doc!$A7))</f>
        <v>0</v>
      </c>
      <c r="G7" s="10" cm="1">
        <f t="array" ref="G7">SUMPRODUCT((data!$M$5:$R$100)*(data!$A$5:$A$100=doc!$B$1)*(data!$C$5:$C$100&lt;=doc!$B$2) * (data!$F$5:$F$100=doc!G$6) * (data!$M$4:$R$4=doc!$A7))</f>
        <v>0</v>
      </c>
    </row>
    <row r="8" spans="1:7" x14ac:dyDescent="0.2">
      <c r="A8" t="s">
        <v>72</v>
      </c>
      <c r="B8" s="10" cm="1">
        <f t="array" ref="B8">SUMPRODUCT((data!$M$5:$R$100)*(data!$A$5:$A$100=doc!$B$1)*(data!$C$5:$C$100&lt;=doc!$B$2) * (data!$F$5:$F$100=doc!B$6) * (data!$M$4:$R$4=doc!$A8))</f>
        <v>12150174.150000002</v>
      </c>
      <c r="C8" s="10" cm="1">
        <f t="array" ref="C8">SUMPRODUCT((data!$M$5:$R$100)*(data!$A$5:$A$100=doc!$B$1)*(data!$C$5:$C$100&lt;=doc!$B$2) * (data!$F$5:$F$100=doc!C$6) * (data!$M$4:$R$4=doc!$A8))</f>
        <v>88741799.950000018</v>
      </c>
      <c r="D8" s="10" cm="1">
        <f t="array" ref="D8">SUMPRODUCT((data!$M$5:$R$100)*(data!$A$5:$A$100=doc!$B$1)*(data!$C$5:$C$100&lt;=doc!$B$2) * (data!$F$5:$F$100=doc!D$6) * (data!$M$4:$R$4=doc!$A8))</f>
        <v>110473089.59999998</v>
      </c>
      <c r="E8" s="30" cm="1">
        <f t="array" ref="E8">SUMPRODUCT((data!$M$5:$R$100)*(data!$A$5:$A$100=doc!$B$1)*(data!$C$5:$C$100&lt;=doc!$B$2) * (data!$F$5:$F$100=doc!E$6) * (data!$M$4:$R$4=doc!$A8))</f>
        <v>0</v>
      </c>
      <c r="F8" s="10" cm="1">
        <f t="array" ref="F8">SUMPRODUCT((data!$M$5:$R$100)*(data!$A$5:$A$100=doc!$B$1)*(data!$C$5:$C$100&lt;=doc!$B$2) * (data!$F$5:$F$100=doc!F$6) * (data!$M$4:$R$4=doc!$A8))</f>
        <v>0</v>
      </c>
      <c r="G8" s="10" cm="1">
        <f t="array" ref="G8">SUMPRODUCT((data!$M$5:$R$100)*(data!$A$5:$A$100=doc!$B$1)*(data!$C$5:$C$100&lt;=doc!$B$2) * (data!$F$5:$F$100=doc!G$6) * (data!$M$4:$R$4=doc!$A8))</f>
        <v>0</v>
      </c>
    </row>
    <row r="9" spans="1:7" x14ac:dyDescent="0.2">
      <c r="A9" t="s">
        <v>73</v>
      </c>
      <c r="B9" s="10" cm="1">
        <f t="array" ref="B9">SUMPRODUCT((data!$M$5:$R$100)*(data!$A$5:$A$100=doc!$B$1)*(data!$C$5:$C$100&lt;=doc!$B$2) * (data!$F$5:$F$100=doc!B$6) * (data!$M$4:$R$4=doc!$A9))</f>
        <v>4500064.5</v>
      </c>
      <c r="C9" s="10" cm="1">
        <f t="array" ref="C9">SUMPRODUCT((data!$M$5:$R$100)*(data!$A$5:$A$100=doc!$B$1)*(data!$C$5:$C$100&lt;=doc!$B$2) * (data!$F$5:$F$100=doc!C$6) * (data!$M$4:$R$4=doc!$A9))</f>
        <v>4670621.0499999989</v>
      </c>
      <c r="D9" s="10" cm="1">
        <f t="array" ref="D9">SUMPRODUCT((data!$M$5:$R$100)*(data!$A$5:$A$100=doc!$B$1)*(data!$C$5:$C$100&lt;=doc!$B$2) * (data!$F$5:$F$100=doc!D$6) * (data!$M$4:$R$4=doc!$A9))</f>
        <v>19332790.680000007</v>
      </c>
      <c r="E9" s="30" cm="1">
        <f t="array" ref="E9">SUMPRODUCT((data!$M$5:$R$100)*(data!$A$5:$A$100=doc!$B$1)*(data!$C$5:$C$100&lt;=doc!$B$2) * (data!$F$5:$F$100=doc!E$6) * (data!$M$4:$R$4=doc!$A9))</f>
        <v>0</v>
      </c>
      <c r="F9" s="10" cm="1">
        <f t="array" ref="F9">SUMPRODUCT((data!$M$5:$R$100)*(data!$A$5:$A$100=doc!$B$1)*(data!$C$5:$C$100&lt;=doc!$B$2) * (data!$F$5:$F$100=doc!F$6) * (data!$M$4:$R$4=doc!$A9))</f>
        <v>0</v>
      </c>
      <c r="G9" s="10" cm="1">
        <f t="array" ref="G9">SUMPRODUCT((data!$M$5:$R$100)*(data!$A$5:$A$100=doc!$B$1)*(data!$C$5:$C$100&lt;=doc!$B$2) * (data!$F$5:$F$100=doc!G$6) * (data!$M$4:$R$4=doc!$A9))</f>
        <v>0</v>
      </c>
    </row>
    <row r="10" spans="1:7" x14ac:dyDescent="0.2">
      <c r="A10" t="s">
        <v>70</v>
      </c>
      <c r="B10" s="10" cm="1">
        <f t="array" ref="B10">SUMPRODUCT((data!$M$5:$R$100)*(data!$A$5:$A$100=doc!$B$1)*(data!$C$5:$C$100&lt;=doc!$B$2) * (data!$F$5:$F$100=doc!B$6) * (data!$M$4:$R$4=doc!$A10))</f>
        <v>2092259.98863</v>
      </c>
      <c r="C10" s="10" cm="1">
        <f t="array" ref="C10">SUMPRODUCT((data!$M$5:$R$100)*(data!$A$5:$A$100=doc!$B$1)*(data!$C$5:$C$100&lt;=doc!$B$2) * (data!$F$5:$F$100=doc!C$6) * (data!$M$4:$R$4=doc!$A10))</f>
        <v>13311269.992499989</v>
      </c>
      <c r="D10" s="10" cm="1">
        <f t="array" ref="D10">SUMPRODUCT((data!$M$5:$R$100)*(data!$A$5:$A$100=doc!$B$1)*(data!$C$5:$C$100&lt;=doc!$B$2) * (data!$F$5:$F$100=doc!D$6) * (data!$M$4:$R$4=doc!$A10))</f>
        <v>22094617.920000006</v>
      </c>
      <c r="E10" s="30" cm="1">
        <f t="array" ref="E10">SUMPRODUCT((data!$M$5:$R$100)*(data!$A$5:$A$100=doc!$B$1)*(data!$C$5:$C$100&lt;=doc!$B$2) * (data!$F$5:$F$100=doc!E$6) * (data!$M$4:$R$4=doc!$A10))</f>
        <v>0</v>
      </c>
      <c r="F10" s="10" cm="1">
        <f t="array" ref="F10">SUMPRODUCT((data!$M$5:$R$100)*(data!$A$5:$A$100=doc!$B$1)*(data!$C$5:$C$100&lt;=doc!$B$2) * (data!$F$5:$F$100=doc!F$6) * (data!$M$4:$R$4=doc!$A10))</f>
        <v>0</v>
      </c>
      <c r="G10" s="10" cm="1">
        <f t="array" ref="G10">SUMPRODUCT((data!$M$5:$R$100)*(data!$A$5:$A$100=doc!$B$1)*(data!$C$5:$C$100&lt;=doc!$B$2) * (data!$F$5:$F$100=doc!G$6) * (data!$M$4:$R$4=doc!$A10))</f>
        <v>0</v>
      </c>
    </row>
    <row r="11" spans="1:7" x14ac:dyDescent="0.2">
      <c r="A11" t="s">
        <v>74</v>
      </c>
      <c r="B11" s="10" cm="1">
        <f t="array" ref="B11">SUMPRODUCT((data!$M$5:$R$100)*(data!$A$5:$A$100=doc!$B$1)*(data!$C$5:$C$100&lt;=doc!$B$2) * (data!$F$5:$F$100=doc!B$6) * (data!$M$4:$R$4=doc!$A11))</f>
        <v>81001161</v>
      </c>
      <c r="C11" s="10" cm="1">
        <f t="array" ref="C11">SUMPRODUCT((data!$M$5:$R$100)*(data!$A$5:$A$100=doc!$B$1)*(data!$C$5:$C$100&lt;=doc!$B$2) * (data!$F$5:$F$100=doc!C$6) * (data!$M$4:$R$4=doc!$A11))</f>
        <v>84071178.900000051</v>
      </c>
      <c r="D11" s="10" cm="1">
        <f t="array" ref="D11">SUMPRODUCT((data!$M$5:$R$100)*(data!$A$5:$A$100=doc!$B$1)*(data!$C$5:$C$100&lt;=doc!$B$2) * (data!$F$5:$F$100=doc!D$6) * (data!$M$4:$R$4=doc!$A11))</f>
        <v>96663953.399999991</v>
      </c>
      <c r="E11" s="30" cm="1">
        <f t="array" ref="E11">SUMPRODUCT((data!$M$5:$R$100)*(data!$A$5:$A$100=doc!$B$1)*(data!$C$5:$C$100&lt;=doc!$B$2) * (data!$F$5:$F$100=doc!E$6) * (data!$M$4:$R$4=doc!$A11))</f>
        <v>0</v>
      </c>
      <c r="F11" s="10" cm="1">
        <f t="array" ref="F11">SUMPRODUCT((data!$M$5:$R$100)*(data!$A$5:$A$100=doc!$B$1)*(data!$C$5:$C$100&lt;=doc!$B$2) * (data!$F$5:$F$100=doc!F$6) * (data!$M$4:$R$4=doc!$A11))</f>
        <v>0</v>
      </c>
      <c r="G11" s="10" cm="1">
        <f t="array" ref="G11">SUMPRODUCT((data!$M$5:$R$100)*(data!$A$5:$A$100=doc!$B$1)*(data!$C$5:$C$100&lt;=doc!$B$2) * (data!$F$5:$F$100=doc!G$6) * (data!$M$4:$R$4=doc!$A11))</f>
        <v>0</v>
      </c>
    </row>
    <row r="12" spans="1:7" x14ac:dyDescent="0.2">
      <c r="A12" t="s">
        <v>75</v>
      </c>
      <c r="B12" s="10" cm="1">
        <f t="array" ref="B12">SUMPRODUCT((data!$M$5:$R$100)*(data!$A$5:$A$100=doc!$B$1)*(data!$C$5:$C$100&lt;=doc!$B$2) * (data!$F$5:$F$100=doc!B$6) * (data!$M$4:$R$4=doc!$A12))</f>
        <v>10935156.735000001</v>
      </c>
      <c r="C12" s="10" cm="1">
        <f t="array" ref="C12">SUMPRODUCT((data!$M$5:$R$100)*(data!$A$5:$A$100=doc!$B$1)*(data!$C$5:$C$100&lt;=doc!$B$2) * (data!$F$5:$F$100=doc!C$6) * (data!$M$4:$R$4=doc!$A12))</f>
        <v>79867619.955000013</v>
      </c>
      <c r="D12" s="10" cm="1">
        <f t="array" ref="D12">SUMPRODUCT((data!$M$5:$R$100)*(data!$A$5:$A$100=doc!$B$1)*(data!$C$5:$C$100&lt;=doc!$B$2) * (data!$F$5:$F$100=doc!D$6) * (data!$M$4:$R$4=doc!$A12))</f>
        <v>77331162.720000029</v>
      </c>
      <c r="E12" s="30" cm="1">
        <f t="array" ref="E12">SUMPRODUCT((data!$M$5:$R$100)*(data!$A$5:$A$100=doc!$B$1)*(data!$C$5:$C$100&lt;=doc!$B$2) * (data!$F$5:$F$100=doc!E$6) * (data!$M$4:$R$4=doc!$A12))</f>
        <v>0</v>
      </c>
      <c r="F12" s="10" cm="1">
        <f t="array" ref="F12">SUMPRODUCT((data!$M$5:$R$100)*(data!$A$5:$A$100=doc!$B$1)*(data!$C$5:$C$100&lt;=doc!$B$2) * (data!$F$5:$F$100=doc!F$6) * (data!$M$4:$R$4=doc!$A12))</f>
        <v>0</v>
      </c>
      <c r="G12" s="10" cm="1">
        <f t="array" ref="G12">SUMPRODUCT((data!$M$5:$R$100)*(data!$A$5:$A$100=doc!$B$1)*(data!$C$5:$C$100&lt;=doc!$B$2) * (data!$F$5:$F$100=doc!G$6) * (data!$M$4:$R$4=doc!$A12))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53F1-7EA2-4789-9860-583A2A1F64E5}">
  <sheetPr filterMode="1">
    <tabColor rgb="FFFFFF00"/>
  </sheetPr>
  <dimension ref="A1:M32"/>
  <sheetViews>
    <sheetView rightToLeft="1" workbookViewId="0">
      <selection activeCell="B27" sqref="B27"/>
    </sheetView>
  </sheetViews>
  <sheetFormatPr defaultRowHeight="14.25" x14ac:dyDescent="0.2"/>
  <cols>
    <col min="1" max="1" width="9" customWidth="1"/>
    <col min="2" max="2" width="14.5" customWidth="1"/>
    <col min="3" max="4" width="12.75" customWidth="1"/>
    <col min="5" max="5" width="10.125" customWidth="1"/>
    <col min="7" max="7" width="13.125" customWidth="1"/>
    <col min="8" max="8" width="11.625" customWidth="1"/>
    <col min="10" max="10" width="9.875" bestFit="1" customWidth="1"/>
    <col min="11" max="11" width="11.875" customWidth="1"/>
    <col min="13" max="13" width="10.875" bestFit="1" customWidth="1"/>
  </cols>
  <sheetData>
    <row r="1" spans="1:12" x14ac:dyDescent="0.2">
      <c r="B1" t="s">
        <v>64</v>
      </c>
    </row>
    <row r="3" spans="1:12" x14ac:dyDescent="0.2">
      <c r="A3" t="s">
        <v>65</v>
      </c>
      <c r="B3" t="s">
        <v>5</v>
      </c>
      <c r="C3" t="s">
        <v>7</v>
      </c>
      <c r="D3" t="s">
        <v>7</v>
      </c>
      <c r="E3" t="s">
        <v>6</v>
      </c>
      <c r="F3" t="s">
        <v>6</v>
      </c>
      <c r="G3" t="s">
        <v>6</v>
      </c>
      <c r="H3" t="s">
        <v>8</v>
      </c>
      <c r="I3" t="s">
        <v>8</v>
      </c>
      <c r="J3" t="s">
        <v>9</v>
      </c>
      <c r="K3" t="s">
        <v>8</v>
      </c>
      <c r="L3" t="s">
        <v>10</v>
      </c>
    </row>
    <row r="4" spans="1:12" ht="15" x14ac:dyDescent="0.25">
      <c r="A4" t="s">
        <v>66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  <c r="G4" s="9" t="s">
        <v>56</v>
      </c>
      <c r="H4" s="9" t="s">
        <v>57</v>
      </c>
      <c r="I4" s="9" t="s">
        <v>58</v>
      </c>
      <c r="J4" s="9" t="s">
        <v>59</v>
      </c>
      <c r="K4" s="9" t="s">
        <v>60</v>
      </c>
      <c r="L4" s="9" t="s">
        <v>10</v>
      </c>
    </row>
    <row r="5" spans="1:12" x14ac:dyDescent="0.2">
      <c r="A5" s="12">
        <v>45717</v>
      </c>
      <c r="B5" s="13">
        <v>46.318964701698299</v>
      </c>
      <c r="C5" s="13">
        <v>107.00783637407379</v>
      </c>
      <c r="D5" s="13"/>
      <c r="E5" s="13">
        <v>0</v>
      </c>
      <c r="F5" s="13"/>
      <c r="G5" s="13"/>
      <c r="H5" s="13">
        <v>0</v>
      </c>
      <c r="I5" s="13"/>
      <c r="J5" s="13">
        <v>0</v>
      </c>
      <c r="K5" s="13"/>
      <c r="L5" s="13">
        <v>0</v>
      </c>
    </row>
    <row r="6" spans="1:12" x14ac:dyDescent="0.2">
      <c r="A6" s="12">
        <v>45748</v>
      </c>
      <c r="B6" s="13">
        <v>448.73693798864161</v>
      </c>
      <c r="C6" s="13">
        <v>969.67175367724906</v>
      </c>
      <c r="D6" s="13"/>
      <c r="E6" s="13">
        <v>0</v>
      </c>
      <c r="F6" s="13"/>
      <c r="G6" s="13"/>
      <c r="H6" s="13">
        <v>0</v>
      </c>
      <c r="I6" s="13"/>
      <c r="J6" s="13">
        <v>146.94320355459678</v>
      </c>
      <c r="K6" s="13"/>
      <c r="L6" s="13">
        <v>0</v>
      </c>
    </row>
    <row r="7" spans="1:12" x14ac:dyDescent="0.2">
      <c r="A7" s="12">
        <v>45778</v>
      </c>
      <c r="B7" s="13">
        <v>565.90502301988522</v>
      </c>
      <c r="C7" s="13">
        <v>1327.5337632145511</v>
      </c>
      <c r="D7" s="13"/>
      <c r="E7" s="13">
        <v>0</v>
      </c>
      <c r="F7" s="13"/>
      <c r="G7" s="13"/>
      <c r="H7" s="13">
        <v>0</v>
      </c>
      <c r="I7" s="13"/>
      <c r="J7" s="13">
        <v>154.16174553345206</v>
      </c>
      <c r="K7" s="13"/>
      <c r="L7" s="13">
        <v>0</v>
      </c>
    </row>
    <row r="8" spans="1:12" x14ac:dyDescent="0.2">
      <c r="A8" s="12">
        <v>45809</v>
      </c>
      <c r="B8" s="13">
        <v>1426.814470606794</v>
      </c>
      <c r="C8" s="13">
        <v>2941.5620256864449</v>
      </c>
      <c r="D8" s="13"/>
      <c r="E8" s="13">
        <v>0</v>
      </c>
      <c r="F8" s="13"/>
      <c r="G8" s="13"/>
      <c r="H8" s="13">
        <v>0</v>
      </c>
      <c r="I8" s="13"/>
      <c r="J8" s="13">
        <v>149.5323836374198</v>
      </c>
      <c r="K8" s="13"/>
      <c r="L8" s="13">
        <v>0</v>
      </c>
    </row>
    <row r="9" spans="1:12" x14ac:dyDescent="0.2">
      <c r="A9" s="12">
        <v>45839</v>
      </c>
      <c r="B9" s="13">
        <v>2492.2971493207888</v>
      </c>
      <c r="C9" s="13">
        <v>4528.400866164634</v>
      </c>
      <c r="D9" s="13"/>
      <c r="E9" s="13">
        <v>701.07589699219761</v>
      </c>
      <c r="F9" s="13"/>
      <c r="G9" s="13"/>
      <c r="H9" s="13">
        <v>0</v>
      </c>
      <c r="I9" s="13"/>
      <c r="J9" s="13">
        <v>299.87588549630175</v>
      </c>
      <c r="K9" s="13"/>
      <c r="L9" s="13">
        <v>0</v>
      </c>
    </row>
    <row r="10" spans="1:12" x14ac:dyDescent="0.2">
      <c r="A10" s="12">
        <v>45870</v>
      </c>
      <c r="B10" s="13">
        <v>3093.1555568008671</v>
      </c>
      <c r="C10" s="13">
        <v>5457.353011226829</v>
      </c>
      <c r="D10" s="13"/>
      <c r="E10" s="13">
        <v>32.031570694705358</v>
      </c>
      <c r="F10" s="13"/>
      <c r="G10" s="13"/>
      <c r="H10" s="13">
        <v>0</v>
      </c>
      <c r="I10" s="13"/>
      <c r="J10" s="13">
        <v>415.70862265040836</v>
      </c>
      <c r="K10" s="13"/>
      <c r="L10" s="13">
        <v>0</v>
      </c>
    </row>
    <row r="11" spans="1:12" s="15" customFormat="1" x14ac:dyDescent="0.2">
      <c r="A11" s="12">
        <v>45901</v>
      </c>
      <c r="B11" s="13">
        <v>5066.3581637189045</v>
      </c>
      <c r="C11" s="13">
        <v>8362.5114340036744</v>
      </c>
      <c r="D11" s="13"/>
      <c r="E11" s="13">
        <v>3694.2527018764963</v>
      </c>
      <c r="F11" s="13"/>
      <c r="G11" s="13"/>
      <c r="H11" s="13">
        <v>1059.7193022497256</v>
      </c>
      <c r="I11" s="13"/>
      <c r="J11" s="13">
        <v>386.65770059656103</v>
      </c>
      <c r="K11" s="13"/>
      <c r="L11" s="13">
        <v>0</v>
      </c>
    </row>
    <row r="12" spans="1:12" x14ac:dyDescent="0.2">
      <c r="A12" s="12">
        <v>45931</v>
      </c>
      <c r="B12" s="13">
        <v>5169.4089028441022</v>
      </c>
      <c r="C12" s="13">
        <v>8223.844938855922</v>
      </c>
      <c r="D12" s="13"/>
      <c r="E12" s="13">
        <v>4106.1792592027023</v>
      </c>
      <c r="F12" s="13"/>
      <c r="G12" s="13"/>
      <c r="H12" s="13">
        <v>573.96989985287621</v>
      </c>
      <c r="I12" s="13"/>
      <c r="J12" s="13">
        <v>311.47881404346583</v>
      </c>
      <c r="K12" s="13"/>
      <c r="L12" s="13">
        <v>0</v>
      </c>
    </row>
    <row r="13" spans="1:12" x14ac:dyDescent="0.2">
      <c r="A13" s="12">
        <v>45962</v>
      </c>
      <c r="B13" s="13">
        <v>5963.1725924675711</v>
      </c>
      <c r="C13" s="13">
        <v>10111.912606337359</v>
      </c>
      <c r="D13" s="13"/>
      <c r="E13" s="13">
        <v>5774.1057562853312</v>
      </c>
      <c r="F13" s="13"/>
      <c r="G13" s="13"/>
      <c r="H13" s="13">
        <v>966.27231527561548</v>
      </c>
      <c r="I13" s="13"/>
      <c r="J13" s="13">
        <v>396.40421272009633</v>
      </c>
      <c r="K13" s="13"/>
      <c r="L13" s="13">
        <v>0</v>
      </c>
    </row>
    <row r="14" spans="1:12" s="15" customFormat="1" x14ac:dyDescent="0.2">
      <c r="A14" s="12">
        <v>45992</v>
      </c>
      <c r="B14" s="13">
        <v>5782.5958153092643</v>
      </c>
      <c r="C14" s="13">
        <v>9082.9280164740067</v>
      </c>
      <c r="D14" s="13"/>
      <c r="E14" s="13">
        <v>7253.1013876167244</v>
      </c>
      <c r="F14" s="13"/>
      <c r="G14" s="13"/>
      <c r="H14" s="13">
        <v>1485.6052870231479</v>
      </c>
      <c r="I14" s="13"/>
      <c r="J14" s="13">
        <v>301.83532935591887</v>
      </c>
      <c r="K14" s="13"/>
      <c r="L14" s="13">
        <v>0</v>
      </c>
    </row>
    <row r="15" spans="1:12" hidden="1" x14ac:dyDescent="0.2">
      <c r="A15" s="1">
        <v>46023</v>
      </c>
      <c r="B15" s="14">
        <v>5320</v>
      </c>
      <c r="C15" s="14">
        <v>6977.2079999999987</v>
      </c>
      <c r="D15" s="14">
        <v>1509.0572487984646</v>
      </c>
      <c r="E15" s="14">
        <v>6160</v>
      </c>
      <c r="F15" s="14">
        <v>529</v>
      </c>
      <c r="G15" s="14">
        <v>6020</v>
      </c>
      <c r="H15" s="14">
        <v>2125</v>
      </c>
      <c r="I15" s="14">
        <v>84</v>
      </c>
      <c r="J15" s="14">
        <v>297.27499999999998</v>
      </c>
      <c r="K15" s="14">
        <v>1440</v>
      </c>
      <c r="L15" s="14">
        <v>0</v>
      </c>
    </row>
    <row r="16" spans="1:12" hidden="1" x14ac:dyDescent="0.2">
      <c r="A16" s="1">
        <v>46054</v>
      </c>
      <c r="B16" s="14">
        <v>5130</v>
      </c>
      <c r="C16" s="14">
        <v>6708.7439999999997</v>
      </c>
      <c r="D16" s="14">
        <v>1426.059100114549</v>
      </c>
      <c r="E16" s="14">
        <v>2240.0000000000005</v>
      </c>
      <c r="F16" s="14">
        <v>192.3636363636364</v>
      </c>
      <c r="G16" s="14">
        <v>2189.090909090909</v>
      </c>
      <c r="H16" s="14">
        <v>772.72727272727286</v>
      </c>
      <c r="I16" s="14">
        <v>30.545454545454547</v>
      </c>
      <c r="J16" s="14">
        <v>327.0025</v>
      </c>
      <c r="K16" s="14">
        <v>523.63636363636374</v>
      </c>
      <c r="L16" s="14">
        <v>0</v>
      </c>
    </row>
    <row r="17" spans="1:13" hidden="1" x14ac:dyDescent="0.2">
      <c r="A17" s="1">
        <v>46082</v>
      </c>
      <c r="B17" s="14">
        <v>5354.77</v>
      </c>
      <c r="C17" s="14">
        <v>7007.665</v>
      </c>
      <c r="D17" s="14">
        <v>1397.5379181122582</v>
      </c>
      <c r="E17" s="14">
        <v>2240.0000000000005</v>
      </c>
      <c r="F17" s="14">
        <v>192.3636363636364</v>
      </c>
      <c r="G17" s="14">
        <v>2189.090909090909</v>
      </c>
      <c r="H17" s="14">
        <v>772.72727272727286</v>
      </c>
      <c r="I17" s="14">
        <v>30.545454545454547</v>
      </c>
      <c r="J17" s="14">
        <v>423.24025</v>
      </c>
      <c r="K17" s="14">
        <v>523.63636363636374</v>
      </c>
      <c r="L17" s="14">
        <v>0</v>
      </c>
    </row>
    <row r="18" spans="1:13" hidden="1" x14ac:dyDescent="0.2">
      <c r="A18" s="1">
        <v>46113</v>
      </c>
      <c r="B18" s="14">
        <v>5425.26</v>
      </c>
      <c r="C18" s="14">
        <v>7004.4239999999991</v>
      </c>
      <c r="D18" s="14">
        <v>1369.5871597500129</v>
      </c>
      <c r="E18" s="14">
        <v>2240.0000000000005</v>
      </c>
      <c r="F18" s="14">
        <v>192.3636363636364</v>
      </c>
      <c r="G18" s="14">
        <v>2189.090909090909</v>
      </c>
      <c r="H18" s="14">
        <v>772.72727272727286</v>
      </c>
      <c r="I18" s="14">
        <v>30.545454545454547</v>
      </c>
      <c r="J18" s="14">
        <v>500.69424500000002</v>
      </c>
      <c r="K18" s="14">
        <v>523.63636363636374</v>
      </c>
      <c r="L18" s="14">
        <v>50</v>
      </c>
    </row>
    <row r="19" spans="1:13" hidden="1" x14ac:dyDescent="0.2">
      <c r="A19" s="1">
        <v>46143</v>
      </c>
      <c r="B19" s="14">
        <v>6064.99</v>
      </c>
      <c r="C19" s="14">
        <v>7998.48</v>
      </c>
      <c r="D19" s="14">
        <v>1342.1954165550126</v>
      </c>
      <c r="E19" s="14">
        <v>2240.0000000000005</v>
      </c>
      <c r="F19" s="14">
        <v>192.3636363636364</v>
      </c>
      <c r="G19" s="14">
        <v>2189.090909090909</v>
      </c>
      <c r="H19" s="14">
        <v>772.72727272727286</v>
      </c>
      <c r="I19" s="14">
        <v>30.545454545454547</v>
      </c>
      <c r="J19" s="14">
        <v>581.98260909999999</v>
      </c>
      <c r="K19" s="14">
        <v>523.63636363636374</v>
      </c>
      <c r="L19" s="14">
        <v>91</v>
      </c>
    </row>
    <row r="20" spans="1:13" hidden="1" x14ac:dyDescent="0.2">
      <c r="A20" s="1">
        <v>46174</v>
      </c>
      <c r="B20" s="14">
        <v>6397.49</v>
      </c>
      <c r="C20" s="14">
        <v>7862.12</v>
      </c>
      <c r="D20" s="14">
        <v>1507.0342988196023</v>
      </c>
      <c r="E20" s="14">
        <v>3143.0000000000005</v>
      </c>
      <c r="F20" s="14">
        <v>300.17613636363643</v>
      </c>
      <c r="G20" s="14">
        <v>2189.090909090909</v>
      </c>
      <c r="H20" s="14">
        <v>772.72727272727286</v>
      </c>
      <c r="I20" s="14">
        <v>30.545454545454547</v>
      </c>
      <c r="J20" s="14">
        <v>792.84264182999993</v>
      </c>
      <c r="K20" s="14">
        <v>523.63636363636374</v>
      </c>
      <c r="L20" s="14">
        <v>165.61999999999998</v>
      </c>
    </row>
    <row r="21" spans="1:13" hidden="1" x14ac:dyDescent="0.2">
      <c r="A21" s="1">
        <v>46204</v>
      </c>
      <c r="B21" s="14">
        <v>7435.4599999999991</v>
      </c>
      <c r="C21" s="14">
        <v>9443.132999999998</v>
      </c>
      <c r="D21" s="14">
        <v>1343.9654184845133</v>
      </c>
      <c r="E21" s="14">
        <v>2324.0000000000005</v>
      </c>
      <c r="F21" s="14">
        <v>199.26363636363641</v>
      </c>
      <c r="G21" s="14">
        <v>2194.340909090909</v>
      </c>
      <c r="H21" s="14">
        <v>772.72727272727286</v>
      </c>
      <c r="I21" s="14">
        <v>30.545454545454547</v>
      </c>
      <c r="J21" s="14">
        <v>1089.5532730326001</v>
      </c>
      <c r="K21" s="14">
        <v>523.63636363636374</v>
      </c>
      <c r="L21" s="14">
        <v>185.49439999999996</v>
      </c>
    </row>
    <row r="22" spans="1:13" hidden="1" x14ac:dyDescent="0.2">
      <c r="A22" s="1">
        <v>46235</v>
      </c>
      <c r="B22" s="14">
        <v>8222.44</v>
      </c>
      <c r="C22" s="14">
        <v>10496.828159999999</v>
      </c>
      <c r="D22" s="14">
        <v>1410.2480844000534</v>
      </c>
      <c r="E22" s="14">
        <v>2633.7500000000005</v>
      </c>
      <c r="F22" s="14">
        <v>207.02613636363643</v>
      </c>
      <c r="G22" s="14">
        <v>2189.090909090909</v>
      </c>
      <c r="H22" s="14">
        <v>938.47727272727286</v>
      </c>
      <c r="I22" s="14">
        <v>33.695454545454552</v>
      </c>
      <c r="J22" s="14">
        <v>1182.199893099772</v>
      </c>
      <c r="K22" s="14">
        <v>523.63636363636374</v>
      </c>
      <c r="L22" s="14">
        <v>185.49439999999996</v>
      </c>
    </row>
    <row r="23" spans="1:13" hidden="1" x14ac:dyDescent="0.2">
      <c r="A23" s="1">
        <v>46266</v>
      </c>
      <c r="B23" s="14">
        <v>9609.06</v>
      </c>
      <c r="C23" s="14">
        <v>12925.605</v>
      </c>
      <c r="D23" s="14">
        <v>2243.4611725313521</v>
      </c>
      <c r="E23" s="14">
        <v>6476.75</v>
      </c>
      <c r="F23" s="14">
        <v>235.4886363636364</v>
      </c>
      <c r="G23" s="14">
        <v>2462.090909090909</v>
      </c>
      <c r="H23" s="14">
        <v>1403.852272727273</v>
      </c>
      <c r="I23" s="14">
        <v>66.770454545454541</v>
      </c>
      <c r="J23" s="14">
        <v>1297.6828824097493</v>
      </c>
      <c r="K23" s="14">
        <v>523.63636363636374</v>
      </c>
      <c r="L23" s="14">
        <v>204.04383999999999</v>
      </c>
    </row>
    <row r="24" spans="1:13" hidden="1" x14ac:dyDescent="0.2">
      <c r="A24" s="1">
        <v>46296</v>
      </c>
      <c r="B24" s="14">
        <v>9130.26</v>
      </c>
      <c r="C24" s="14">
        <v>11759.58</v>
      </c>
      <c r="D24" s="14">
        <v>2032.6147503734112</v>
      </c>
      <c r="E24" s="14">
        <v>5552.75</v>
      </c>
      <c r="F24" s="14">
        <v>262.22613636363639</v>
      </c>
      <c r="G24" s="14">
        <v>2698.340909090909</v>
      </c>
      <c r="H24" s="14">
        <v>1276.352272727273</v>
      </c>
      <c r="I24" s="14">
        <v>57.320454545454552</v>
      </c>
      <c r="J24" s="14">
        <v>1245.1749209374566</v>
      </c>
      <c r="K24" s="14">
        <v>523.63636363636374</v>
      </c>
      <c r="L24" s="14">
        <v>251.41115999999994</v>
      </c>
    </row>
    <row r="25" spans="1:13" hidden="1" x14ac:dyDescent="0.2">
      <c r="A25" s="1">
        <v>46327</v>
      </c>
      <c r="B25" s="14">
        <v>9620.84</v>
      </c>
      <c r="C25" s="14">
        <v>11993.142</v>
      </c>
      <c r="D25" s="14">
        <v>2681.7897842623274</v>
      </c>
      <c r="E25" s="14">
        <v>8639.75</v>
      </c>
      <c r="F25" s="14">
        <v>258.7761363636364</v>
      </c>
      <c r="G25" s="14">
        <v>3071.090909090909</v>
      </c>
      <c r="H25" s="14">
        <v>1690.727272727273</v>
      </c>
      <c r="I25" s="14">
        <v>63.62045454545455</v>
      </c>
      <c r="J25" s="14">
        <v>1181.1778256812092</v>
      </c>
      <c r="K25" s="14">
        <v>523.63636363636374</v>
      </c>
      <c r="L25" s="14">
        <v>377.11673999999994</v>
      </c>
    </row>
    <row r="26" spans="1:13" hidden="1" x14ac:dyDescent="0.2">
      <c r="A26" s="1">
        <v>46357</v>
      </c>
      <c r="B26" s="14">
        <v>12290.719999999998</v>
      </c>
      <c r="C26" s="14">
        <v>14768.571999999998</v>
      </c>
      <c r="D26" s="14">
        <v>4882.3123839185346</v>
      </c>
      <c r="E26" s="14">
        <v>18063.5</v>
      </c>
      <c r="F26" s="14">
        <v>2188.1886363636363</v>
      </c>
      <c r="G26" s="14">
        <v>6977.090909090909</v>
      </c>
      <c r="H26" s="14">
        <v>3061.352272727273</v>
      </c>
      <c r="I26" s="14">
        <v>347.12045454545461</v>
      </c>
      <c r="J26" s="14">
        <v>1250.3049669652698</v>
      </c>
      <c r="K26" s="14">
        <v>523.63636363636374</v>
      </c>
      <c r="L26" s="14">
        <v>565.6751099999999</v>
      </c>
    </row>
    <row r="27" spans="1:13" x14ac:dyDescent="0.2">
      <c r="C27" s="10">
        <f>SUBTOTAL(9,C5:C26)</f>
        <v>51112.726252014749</v>
      </c>
      <c r="D27" s="10">
        <f t="shared" ref="D27:L27" si="0">SUBTOTAL(9,D5:D26)</f>
        <v>0</v>
      </c>
      <c r="E27" s="10">
        <f t="shared" si="0"/>
        <v>21560.746572668155</v>
      </c>
      <c r="F27" s="10">
        <f t="shared" si="0"/>
        <v>0</v>
      </c>
      <c r="G27" s="10">
        <f t="shared" si="0"/>
        <v>0</v>
      </c>
      <c r="H27" s="10">
        <f t="shared" si="0"/>
        <v>4085.5668044013655</v>
      </c>
      <c r="I27" s="10">
        <f t="shared" si="0"/>
        <v>0</v>
      </c>
      <c r="J27" s="10">
        <f t="shared" si="0"/>
        <v>2562.5978975882208</v>
      </c>
      <c r="K27" s="10">
        <f t="shared" si="0"/>
        <v>0</v>
      </c>
      <c r="L27" s="10">
        <f t="shared" si="0"/>
        <v>0</v>
      </c>
    </row>
    <row r="28" spans="1:13" x14ac:dyDescent="0.2">
      <c r="B28" s="14">
        <f>SUM(B5:B26)</f>
        <v>120056.0535767785</v>
      </c>
      <c r="C28" s="14">
        <f t="shared" ref="C28:L28" si="1">SUM(C5:C26)</f>
        <v>166058.2274120147</v>
      </c>
      <c r="D28" s="14">
        <f t="shared" si="1"/>
        <v>23145.862736120092</v>
      </c>
      <c r="E28" s="14">
        <f t="shared" si="1"/>
        <v>83514.246572668155</v>
      </c>
      <c r="F28" s="14">
        <f t="shared" si="1"/>
        <v>4949.6000000000004</v>
      </c>
      <c r="G28" s="14">
        <f t="shared" si="1"/>
        <v>36557.499999999993</v>
      </c>
      <c r="H28" s="14">
        <f t="shared" si="1"/>
        <v>19217.691804401362</v>
      </c>
      <c r="I28" s="14">
        <f t="shared" si="1"/>
        <v>835.80000000000007</v>
      </c>
      <c r="J28" s="14">
        <f t="shared" si="1"/>
        <v>12731.728905644279</v>
      </c>
      <c r="K28" s="14">
        <f t="shared" si="1"/>
        <v>7200.0000000000027</v>
      </c>
      <c r="L28" s="14">
        <f t="shared" si="1"/>
        <v>2075.8556499999995</v>
      </c>
      <c r="M28" s="14">
        <f>SUM(B28:L28)</f>
        <v>476342.56665762706</v>
      </c>
    </row>
    <row r="32" spans="1:13" x14ac:dyDescent="0.2">
      <c r="B32" s="14">
        <f>B28*0.794</f>
        <v>95324.506539962138</v>
      </c>
      <c r="C32" s="14">
        <f>C28</f>
        <v>166058.2274120147</v>
      </c>
      <c r="D32" s="14">
        <f>D28</f>
        <v>23145.862736120092</v>
      </c>
      <c r="E32" s="14">
        <f>E28*0.794</f>
        <v>66310.311778698524</v>
      </c>
      <c r="F32" s="14">
        <f>F28*0.794</f>
        <v>3929.9824000000003</v>
      </c>
      <c r="G32" s="14">
        <f>G28*0.794</f>
        <v>29026.654999999995</v>
      </c>
      <c r="H32" s="14">
        <f>H28</f>
        <v>19217.691804401362</v>
      </c>
      <c r="I32" s="14">
        <f>I28</f>
        <v>835.80000000000007</v>
      </c>
      <c r="J32" s="14">
        <f>J28</f>
        <v>12731.728905644279</v>
      </c>
      <c r="K32" s="14">
        <f>K28</f>
        <v>7200.0000000000027</v>
      </c>
      <c r="L32" s="14">
        <f>L28</f>
        <v>2075.8556499999995</v>
      </c>
    </row>
  </sheetData>
  <autoFilter ref="A4:L26" xr:uid="{E1FBEF7D-659F-4B71-9169-832011515CE9}">
    <filterColumn colId="0">
      <filters>
        <dateGroupItem year="2025" dateTimeGrouping="yea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C4F8-CDFA-4C5E-92EB-C1237A6DF6B8}">
  <dimension ref="A3:A171"/>
  <sheetViews>
    <sheetView rightToLeft="1" topLeftCell="A10" workbookViewId="0">
      <selection activeCell="A169" sqref="A169"/>
    </sheetView>
  </sheetViews>
  <sheetFormatPr defaultRowHeight="14.25" x14ac:dyDescent="0.2"/>
  <cols>
    <col min="1" max="1" width="11.125" customWidth="1"/>
  </cols>
  <sheetData>
    <row r="3" spans="1:1" x14ac:dyDescent="0.2">
      <c r="A3" t="s">
        <v>7</v>
      </c>
    </row>
    <row r="4" spans="1:1" x14ac:dyDescent="0.2">
      <c r="A4" t="s">
        <v>7</v>
      </c>
    </row>
    <row r="5" spans="1:1" x14ac:dyDescent="0.2">
      <c r="A5" t="s">
        <v>7</v>
      </c>
    </row>
    <row r="6" spans="1:1" x14ac:dyDescent="0.2">
      <c r="A6" t="s">
        <v>7</v>
      </c>
    </row>
    <row r="7" spans="1:1" x14ac:dyDescent="0.2">
      <c r="A7" t="s">
        <v>7</v>
      </c>
    </row>
    <row r="8" spans="1:1" x14ac:dyDescent="0.2">
      <c r="A8" t="s">
        <v>7</v>
      </c>
    </row>
    <row r="9" spans="1:1" x14ac:dyDescent="0.2">
      <c r="A9" t="s">
        <v>7</v>
      </c>
    </row>
    <row r="10" spans="1:1" x14ac:dyDescent="0.2">
      <c r="A10" t="s">
        <v>7</v>
      </c>
    </row>
    <row r="11" spans="1:1" x14ac:dyDescent="0.2">
      <c r="A11" t="s">
        <v>7</v>
      </c>
    </row>
    <row r="12" spans="1:1" x14ac:dyDescent="0.2">
      <c r="A12" t="s">
        <v>7</v>
      </c>
    </row>
    <row r="13" spans="1:1" x14ac:dyDescent="0.2">
      <c r="A13" t="s">
        <v>7</v>
      </c>
    </row>
    <row r="14" spans="1:1" x14ac:dyDescent="0.2">
      <c r="A14" t="s">
        <v>7</v>
      </c>
    </row>
    <row r="15" spans="1:1" x14ac:dyDescent="0.2">
      <c r="A15" t="s">
        <v>7</v>
      </c>
    </row>
    <row r="16" spans="1:1" x14ac:dyDescent="0.2">
      <c r="A16" t="s">
        <v>7</v>
      </c>
    </row>
    <row r="17" spans="1:1" x14ac:dyDescent="0.2">
      <c r="A17" t="s">
        <v>7</v>
      </c>
    </row>
    <row r="18" spans="1:1" x14ac:dyDescent="0.2">
      <c r="A18" t="s">
        <v>7</v>
      </c>
    </row>
    <row r="19" spans="1:1" x14ac:dyDescent="0.2">
      <c r="A19" t="s">
        <v>7</v>
      </c>
    </row>
    <row r="20" spans="1:1" x14ac:dyDescent="0.2">
      <c r="A20" t="s">
        <v>7</v>
      </c>
    </row>
    <row r="21" spans="1:1" x14ac:dyDescent="0.2">
      <c r="A21" t="s">
        <v>7</v>
      </c>
    </row>
    <row r="22" spans="1:1" x14ac:dyDescent="0.2">
      <c r="A22" t="s">
        <v>7</v>
      </c>
    </row>
    <row r="23" spans="1:1" x14ac:dyDescent="0.2">
      <c r="A23" t="s">
        <v>7</v>
      </c>
    </row>
    <row r="24" spans="1:1" x14ac:dyDescent="0.2">
      <c r="A24" t="s">
        <v>7</v>
      </c>
    </row>
    <row r="25" spans="1:1" x14ac:dyDescent="0.2">
      <c r="A25" t="s">
        <v>7</v>
      </c>
    </row>
    <row r="26" spans="1:1" x14ac:dyDescent="0.2">
      <c r="A26" t="s">
        <v>7</v>
      </c>
    </row>
    <row r="27" spans="1:1" x14ac:dyDescent="0.2">
      <c r="A27" t="s">
        <v>7</v>
      </c>
    </row>
    <row r="28" spans="1:1" x14ac:dyDescent="0.2">
      <c r="A28" t="s">
        <v>7</v>
      </c>
    </row>
    <row r="29" spans="1:1" x14ac:dyDescent="0.2">
      <c r="A29" t="s">
        <v>7</v>
      </c>
    </row>
    <row r="30" spans="1:1" x14ac:dyDescent="0.2">
      <c r="A30" t="s">
        <v>7</v>
      </c>
    </row>
    <row r="31" spans="1:1" x14ac:dyDescent="0.2">
      <c r="A31" t="s">
        <v>7</v>
      </c>
    </row>
    <row r="32" spans="1:1" x14ac:dyDescent="0.2">
      <c r="A32" t="s">
        <v>7</v>
      </c>
    </row>
    <row r="33" spans="1:1" x14ac:dyDescent="0.2">
      <c r="A33" t="s">
        <v>7</v>
      </c>
    </row>
    <row r="34" spans="1:1" x14ac:dyDescent="0.2">
      <c r="A34" t="s">
        <v>7</v>
      </c>
    </row>
    <row r="35" spans="1:1" x14ac:dyDescent="0.2">
      <c r="A35" t="s">
        <v>7</v>
      </c>
    </row>
    <row r="36" spans="1:1" x14ac:dyDescent="0.2">
      <c r="A36" t="s">
        <v>7</v>
      </c>
    </row>
    <row r="37" spans="1:1" x14ac:dyDescent="0.2">
      <c r="A37" t="s">
        <v>5</v>
      </c>
    </row>
    <row r="38" spans="1:1" x14ac:dyDescent="0.2">
      <c r="A38" t="s">
        <v>5</v>
      </c>
    </row>
    <row r="39" spans="1:1" x14ac:dyDescent="0.2">
      <c r="A39" t="s">
        <v>5</v>
      </c>
    </row>
    <row r="40" spans="1:1" x14ac:dyDescent="0.2">
      <c r="A40" t="s">
        <v>5</v>
      </c>
    </row>
    <row r="41" spans="1:1" x14ac:dyDescent="0.2">
      <c r="A41" t="s">
        <v>5</v>
      </c>
    </row>
    <row r="42" spans="1:1" x14ac:dyDescent="0.2">
      <c r="A42" t="s">
        <v>5</v>
      </c>
    </row>
    <row r="43" spans="1:1" x14ac:dyDescent="0.2">
      <c r="A43" t="s">
        <v>5</v>
      </c>
    </row>
    <row r="44" spans="1:1" x14ac:dyDescent="0.2">
      <c r="A44" t="s">
        <v>5</v>
      </c>
    </row>
    <row r="45" spans="1:1" x14ac:dyDescent="0.2">
      <c r="A45" t="s">
        <v>5</v>
      </c>
    </row>
    <row r="46" spans="1:1" x14ac:dyDescent="0.2">
      <c r="A46" t="s">
        <v>5</v>
      </c>
    </row>
    <row r="47" spans="1:1" x14ac:dyDescent="0.2">
      <c r="A47" t="s">
        <v>5</v>
      </c>
    </row>
    <row r="48" spans="1:1" x14ac:dyDescent="0.2">
      <c r="A48" t="s">
        <v>5</v>
      </c>
    </row>
    <row r="49" spans="1:1" x14ac:dyDescent="0.2">
      <c r="A49" t="s">
        <v>5</v>
      </c>
    </row>
    <row r="50" spans="1:1" x14ac:dyDescent="0.2">
      <c r="A50" t="s">
        <v>5</v>
      </c>
    </row>
    <row r="51" spans="1:1" x14ac:dyDescent="0.2">
      <c r="A51" t="s">
        <v>5</v>
      </c>
    </row>
    <row r="52" spans="1:1" x14ac:dyDescent="0.2">
      <c r="A52" t="s">
        <v>5</v>
      </c>
    </row>
    <row r="53" spans="1:1" x14ac:dyDescent="0.2">
      <c r="A53" t="s">
        <v>5</v>
      </c>
    </row>
    <row r="54" spans="1:1" x14ac:dyDescent="0.2">
      <c r="A54" t="s">
        <v>5</v>
      </c>
    </row>
    <row r="55" spans="1:1" x14ac:dyDescent="0.2">
      <c r="A55" t="s">
        <v>5</v>
      </c>
    </row>
    <row r="56" spans="1:1" x14ac:dyDescent="0.2">
      <c r="A56" t="s">
        <v>5</v>
      </c>
    </row>
    <row r="57" spans="1:1" x14ac:dyDescent="0.2">
      <c r="A57" t="s">
        <v>5</v>
      </c>
    </row>
    <row r="58" spans="1:1" x14ac:dyDescent="0.2">
      <c r="A58" t="s">
        <v>5</v>
      </c>
    </row>
    <row r="59" spans="1:1" x14ac:dyDescent="0.2">
      <c r="A59" t="s">
        <v>8</v>
      </c>
    </row>
    <row r="60" spans="1:1" x14ac:dyDescent="0.2">
      <c r="A60" t="s">
        <v>8</v>
      </c>
    </row>
    <row r="61" spans="1:1" x14ac:dyDescent="0.2">
      <c r="A61" t="s">
        <v>8</v>
      </c>
    </row>
    <row r="62" spans="1:1" x14ac:dyDescent="0.2">
      <c r="A62" t="s">
        <v>8</v>
      </c>
    </row>
    <row r="63" spans="1:1" x14ac:dyDescent="0.2">
      <c r="A63" t="s">
        <v>8</v>
      </c>
    </row>
    <row r="64" spans="1:1" x14ac:dyDescent="0.2">
      <c r="A64" t="s">
        <v>8</v>
      </c>
    </row>
    <row r="65" spans="1:1" x14ac:dyDescent="0.2">
      <c r="A65" t="s">
        <v>8</v>
      </c>
    </row>
    <row r="66" spans="1:1" x14ac:dyDescent="0.2">
      <c r="A66" t="s">
        <v>8</v>
      </c>
    </row>
    <row r="67" spans="1:1" x14ac:dyDescent="0.2">
      <c r="A67" t="s">
        <v>8</v>
      </c>
    </row>
    <row r="68" spans="1:1" x14ac:dyDescent="0.2">
      <c r="A68" t="s">
        <v>8</v>
      </c>
    </row>
    <row r="69" spans="1:1" x14ac:dyDescent="0.2">
      <c r="A69" t="s">
        <v>8</v>
      </c>
    </row>
    <row r="70" spans="1:1" x14ac:dyDescent="0.2">
      <c r="A70" t="s">
        <v>8</v>
      </c>
    </row>
    <row r="71" spans="1:1" x14ac:dyDescent="0.2">
      <c r="A71" t="s">
        <v>8</v>
      </c>
    </row>
    <row r="72" spans="1:1" x14ac:dyDescent="0.2">
      <c r="A72" t="s">
        <v>8</v>
      </c>
    </row>
    <row r="73" spans="1:1" x14ac:dyDescent="0.2">
      <c r="A73" t="s">
        <v>8</v>
      </c>
    </row>
    <row r="74" spans="1:1" x14ac:dyDescent="0.2">
      <c r="A74" t="s">
        <v>8</v>
      </c>
    </row>
    <row r="75" spans="1:1" x14ac:dyDescent="0.2">
      <c r="A75" t="s">
        <v>8</v>
      </c>
    </row>
    <row r="76" spans="1:1" x14ac:dyDescent="0.2">
      <c r="A76" t="s">
        <v>8</v>
      </c>
    </row>
    <row r="77" spans="1:1" x14ac:dyDescent="0.2">
      <c r="A77" t="s">
        <v>8</v>
      </c>
    </row>
    <row r="78" spans="1:1" x14ac:dyDescent="0.2">
      <c r="A78" t="s">
        <v>8</v>
      </c>
    </row>
    <row r="79" spans="1:1" x14ac:dyDescent="0.2">
      <c r="A79" t="s">
        <v>8</v>
      </c>
    </row>
    <row r="80" spans="1:1" x14ac:dyDescent="0.2">
      <c r="A80" t="s">
        <v>8</v>
      </c>
    </row>
    <row r="81" spans="1:1" x14ac:dyDescent="0.2">
      <c r="A81" t="s">
        <v>8</v>
      </c>
    </row>
    <row r="82" spans="1:1" x14ac:dyDescent="0.2">
      <c r="A82" t="s">
        <v>8</v>
      </c>
    </row>
    <row r="83" spans="1:1" x14ac:dyDescent="0.2">
      <c r="A83" t="s">
        <v>8</v>
      </c>
    </row>
    <row r="84" spans="1:1" x14ac:dyDescent="0.2">
      <c r="A84" t="s">
        <v>8</v>
      </c>
    </row>
    <row r="85" spans="1:1" x14ac:dyDescent="0.2">
      <c r="A85" t="s">
        <v>8</v>
      </c>
    </row>
    <row r="86" spans="1:1" x14ac:dyDescent="0.2">
      <c r="A86" t="s">
        <v>8</v>
      </c>
    </row>
    <row r="87" spans="1:1" x14ac:dyDescent="0.2">
      <c r="A87" t="s">
        <v>8</v>
      </c>
    </row>
    <row r="88" spans="1:1" x14ac:dyDescent="0.2">
      <c r="A88" t="s">
        <v>8</v>
      </c>
    </row>
    <row r="89" spans="1:1" x14ac:dyDescent="0.2">
      <c r="A89" t="s">
        <v>8</v>
      </c>
    </row>
    <row r="90" spans="1:1" x14ac:dyDescent="0.2">
      <c r="A90" t="s">
        <v>8</v>
      </c>
    </row>
    <row r="91" spans="1:1" x14ac:dyDescent="0.2">
      <c r="A91" t="s">
        <v>8</v>
      </c>
    </row>
    <row r="92" spans="1:1" x14ac:dyDescent="0.2">
      <c r="A92" t="s">
        <v>8</v>
      </c>
    </row>
    <row r="93" spans="1:1" x14ac:dyDescent="0.2">
      <c r="A93" t="s">
        <v>8</v>
      </c>
    </row>
    <row r="94" spans="1:1" x14ac:dyDescent="0.2">
      <c r="A94" t="s">
        <v>8</v>
      </c>
    </row>
    <row r="95" spans="1:1" x14ac:dyDescent="0.2">
      <c r="A95" t="s">
        <v>8</v>
      </c>
    </row>
    <row r="96" spans="1:1" x14ac:dyDescent="0.2">
      <c r="A96" t="s">
        <v>8</v>
      </c>
    </row>
    <row r="97" spans="1:1" x14ac:dyDescent="0.2">
      <c r="A97" t="s">
        <v>8</v>
      </c>
    </row>
    <row r="98" spans="1:1" x14ac:dyDescent="0.2">
      <c r="A98" t="s">
        <v>8</v>
      </c>
    </row>
    <row r="99" spans="1:1" x14ac:dyDescent="0.2">
      <c r="A99" t="s">
        <v>6</v>
      </c>
    </row>
    <row r="100" spans="1:1" x14ac:dyDescent="0.2">
      <c r="A100" t="s">
        <v>6</v>
      </c>
    </row>
    <row r="101" spans="1:1" x14ac:dyDescent="0.2">
      <c r="A101" t="s">
        <v>6</v>
      </c>
    </row>
    <row r="102" spans="1:1" x14ac:dyDescent="0.2">
      <c r="A102" t="s">
        <v>6</v>
      </c>
    </row>
    <row r="103" spans="1:1" x14ac:dyDescent="0.2">
      <c r="A103" t="s">
        <v>6</v>
      </c>
    </row>
    <row r="104" spans="1:1" x14ac:dyDescent="0.2">
      <c r="A104" t="s">
        <v>6</v>
      </c>
    </row>
    <row r="105" spans="1:1" x14ac:dyDescent="0.2">
      <c r="A105" t="s">
        <v>6</v>
      </c>
    </row>
    <row r="106" spans="1:1" x14ac:dyDescent="0.2">
      <c r="A106" t="s">
        <v>6</v>
      </c>
    </row>
    <row r="107" spans="1:1" x14ac:dyDescent="0.2">
      <c r="A107" t="s">
        <v>6</v>
      </c>
    </row>
    <row r="108" spans="1:1" x14ac:dyDescent="0.2">
      <c r="A108" t="s">
        <v>6</v>
      </c>
    </row>
    <row r="109" spans="1:1" x14ac:dyDescent="0.2">
      <c r="A109" t="s">
        <v>6</v>
      </c>
    </row>
    <row r="110" spans="1:1" x14ac:dyDescent="0.2">
      <c r="A110" t="s">
        <v>6</v>
      </c>
    </row>
    <row r="111" spans="1:1" x14ac:dyDescent="0.2">
      <c r="A111" t="s">
        <v>6</v>
      </c>
    </row>
    <row r="112" spans="1:1" x14ac:dyDescent="0.2">
      <c r="A112" t="s">
        <v>6</v>
      </c>
    </row>
    <row r="113" spans="1:1" x14ac:dyDescent="0.2">
      <c r="A113" t="s">
        <v>6</v>
      </c>
    </row>
    <row r="114" spans="1:1" x14ac:dyDescent="0.2">
      <c r="A114" t="s">
        <v>6</v>
      </c>
    </row>
    <row r="115" spans="1:1" x14ac:dyDescent="0.2">
      <c r="A115" t="s">
        <v>6</v>
      </c>
    </row>
    <row r="116" spans="1:1" x14ac:dyDescent="0.2">
      <c r="A116" t="s">
        <v>6</v>
      </c>
    </row>
    <row r="117" spans="1:1" x14ac:dyDescent="0.2">
      <c r="A117" t="s">
        <v>6</v>
      </c>
    </row>
    <row r="118" spans="1:1" x14ac:dyDescent="0.2">
      <c r="A118" t="s">
        <v>6</v>
      </c>
    </row>
    <row r="119" spans="1:1" x14ac:dyDescent="0.2">
      <c r="A119" t="s">
        <v>6</v>
      </c>
    </row>
    <row r="120" spans="1:1" x14ac:dyDescent="0.2">
      <c r="A120" t="s">
        <v>6</v>
      </c>
    </row>
    <row r="121" spans="1:1" x14ac:dyDescent="0.2">
      <c r="A121" t="s">
        <v>6</v>
      </c>
    </row>
    <row r="122" spans="1:1" x14ac:dyDescent="0.2">
      <c r="A122" t="s">
        <v>6</v>
      </c>
    </row>
    <row r="123" spans="1:1" x14ac:dyDescent="0.2">
      <c r="A123" t="s">
        <v>6</v>
      </c>
    </row>
    <row r="124" spans="1:1" x14ac:dyDescent="0.2">
      <c r="A124" t="s">
        <v>6</v>
      </c>
    </row>
    <row r="125" spans="1:1" x14ac:dyDescent="0.2">
      <c r="A125" t="s">
        <v>6</v>
      </c>
    </row>
    <row r="126" spans="1:1" x14ac:dyDescent="0.2">
      <c r="A126" t="s">
        <v>6</v>
      </c>
    </row>
    <row r="127" spans="1:1" x14ac:dyDescent="0.2">
      <c r="A127" t="s">
        <v>6</v>
      </c>
    </row>
    <row r="128" spans="1:1" x14ac:dyDescent="0.2">
      <c r="A128" t="s">
        <v>6</v>
      </c>
    </row>
    <row r="129" spans="1:1" x14ac:dyDescent="0.2">
      <c r="A129" t="s">
        <v>6</v>
      </c>
    </row>
    <row r="130" spans="1:1" x14ac:dyDescent="0.2">
      <c r="A130" t="s">
        <v>6</v>
      </c>
    </row>
    <row r="131" spans="1:1" x14ac:dyDescent="0.2">
      <c r="A131" t="s">
        <v>6</v>
      </c>
    </row>
    <row r="132" spans="1:1" x14ac:dyDescent="0.2">
      <c r="A132" t="s">
        <v>6</v>
      </c>
    </row>
    <row r="133" spans="1:1" x14ac:dyDescent="0.2">
      <c r="A133" t="s">
        <v>6</v>
      </c>
    </row>
    <row r="134" spans="1:1" x14ac:dyDescent="0.2">
      <c r="A134" t="s">
        <v>6</v>
      </c>
    </row>
    <row r="135" spans="1:1" x14ac:dyDescent="0.2">
      <c r="A135" t="s">
        <v>6</v>
      </c>
    </row>
    <row r="136" spans="1:1" x14ac:dyDescent="0.2">
      <c r="A136" t="s">
        <v>6</v>
      </c>
    </row>
    <row r="137" spans="1:1" x14ac:dyDescent="0.2">
      <c r="A137" t="s">
        <v>6</v>
      </c>
    </row>
    <row r="138" spans="1:1" x14ac:dyDescent="0.2">
      <c r="A138" t="s">
        <v>6</v>
      </c>
    </row>
    <row r="139" spans="1:1" x14ac:dyDescent="0.2">
      <c r="A139" t="s">
        <v>6</v>
      </c>
    </row>
    <row r="140" spans="1:1" x14ac:dyDescent="0.2">
      <c r="A140" t="s">
        <v>6</v>
      </c>
    </row>
    <row r="141" spans="1:1" x14ac:dyDescent="0.2">
      <c r="A141" t="s">
        <v>65</v>
      </c>
    </row>
    <row r="142" spans="1:1" x14ac:dyDescent="0.2">
      <c r="A142" t="s">
        <v>9</v>
      </c>
    </row>
    <row r="143" spans="1:1" x14ac:dyDescent="0.2">
      <c r="A143" t="s">
        <v>9</v>
      </c>
    </row>
    <row r="144" spans="1:1" x14ac:dyDescent="0.2">
      <c r="A144" t="s">
        <v>9</v>
      </c>
    </row>
    <row r="145" spans="1:1" x14ac:dyDescent="0.2">
      <c r="A145" t="s">
        <v>9</v>
      </c>
    </row>
    <row r="146" spans="1:1" x14ac:dyDescent="0.2">
      <c r="A146" t="s">
        <v>9</v>
      </c>
    </row>
    <row r="147" spans="1:1" x14ac:dyDescent="0.2">
      <c r="A147" t="s">
        <v>9</v>
      </c>
    </row>
    <row r="148" spans="1:1" x14ac:dyDescent="0.2">
      <c r="A148" t="s">
        <v>9</v>
      </c>
    </row>
    <row r="149" spans="1:1" x14ac:dyDescent="0.2">
      <c r="A149" t="s">
        <v>9</v>
      </c>
    </row>
    <row r="150" spans="1:1" x14ac:dyDescent="0.2">
      <c r="A150" t="s">
        <v>9</v>
      </c>
    </row>
    <row r="151" spans="1:1" x14ac:dyDescent="0.2">
      <c r="A151" t="s">
        <v>9</v>
      </c>
    </row>
    <row r="152" spans="1:1" x14ac:dyDescent="0.2">
      <c r="A152" t="s">
        <v>9</v>
      </c>
    </row>
    <row r="153" spans="1:1" x14ac:dyDescent="0.2">
      <c r="A153" t="s">
        <v>9</v>
      </c>
    </row>
    <row r="154" spans="1:1" x14ac:dyDescent="0.2">
      <c r="A154" t="s">
        <v>9</v>
      </c>
    </row>
    <row r="155" spans="1:1" x14ac:dyDescent="0.2">
      <c r="A155" t="s">
        <v>9</v>
      </c>
    </row>
    <row r="156" spans="1:1" x14ac:dyDescent="0.2">
      <c r="A156" t="s">
        <v>9</v>
      </c>
    </row>
    <row r="157" spans="1:1" x14ac:dyDescent="0.2">
      <c r="A157" t="s">
        <v>9</v>
      </c>
    </row>
    <row r="158" spans="1:1" x14ac:dyDescent="0.2">
      <c r="A158" t="s">
        <v>9</v>
      </c>
    </row>
    <row r="159" spans="1:1" x14ac:dyDescent="0.2">
      <c r="A159" t="s">
        <v>9</v>
      </c>
    </row>
    <row r="160" spans="1:1" x14ac:dyDescent="0.2">
      <c r="A160" t="s">
        <v>9</v>
      </c>
    </row>
    <row r="161" spans="1:1" x14ac:dyDescent="0.2">
      <c r="A161" t="s">
        <v>9</v>
      </c>
    </row>
    <row r="162" spans="1:1" x14ac:dyDescent="0.2">
      <c r="A162" t="s">
        <v>9</v>
      </c>
    </row>
    <row r="163" spans="1:1" x14ac:dyDescent="0.2">
      <c r="A163" t="s">
        <v>10</v>
      </c>
    </row>
    <row r="164" spans="1:1" x14ac:dyDescent="0.2">
      <c r="A164" t="s">
        <v>10</v>
      </c>
    </row>
    <row r="165" spans="1:1" x14ac:dyDescent="0.2">
      <c r="A165" t="s">
        <v>10</v>
      </c>
    </row>
    <row r="166" spans="1:1" x14ac:dyDescent="0.2">
      <c r="A166" t="s">
        <v>10</v>
      </c>
    </row>
    <row r="167" spans="1:1" x14ac:dyDescent="0.2">
      <c r="A167" t="s">
        <v>10</v>
      </c>
    </row>
    <row r="168" spans="1:1" x14ac:dyDescent="0.2">
      <c r="A168" t="s">
        <v>10</v>
      </c>
    </row>
    <row r="169" spans="1:1" x14ac:dyDescent="0.2">
      <c r="A169" t="s">
        <v>10</v>
      </c>
    </row>
    <row r="170" spans="1:1" x14ac:dyDescent="0.2">
      <c r="A170" t="s">
        <v>10</v>
      </c>
    </row>
    <row r="171" spans="1:1" x14ac:dyDescent="0.2">
      <c r="A171" t="s">
        <v>10</v>
      </c>
    </row>
  </sheetData>
  <sortState xmlns:xlrd2="http://schemas.microsoft.com/office/spreadsheetml/2017/richdata2" ref="A3:A171">
    <sortCondition descending="1" ref="A4:A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7</vt:i4>
      </vt:variant>
      <vt:variant>
        <vt:lpstr>טווחים בעלי שם</vt:lpstr>
      </vt:variant>
      <vt:variant>
        <vt:i4>3</vt:i4>
      </vt:variant>
    </vt:vector>
  </HeadingPairs>
  <TitlesOfParts>
    <vt:vector size="10" baseType="lpstr">
      <vt:lpstr>כללי</vt:lpstr>
      <vt:lpstr>info</vt:lpstr>
      <vt:lpstr>prod</vt:lpstr>
      <vt:lpstr>data</vt:lpstr>
      <vt:lpstr>doc</vt:lpstr>
      <vt:lpstr>data (2)</vt:lpstr>
      <vt:lpstr>גיליון2</vt:lpstr>
      <vt:lpstr>anaf</vt:lpstr>
      <vt:lpstr>גיליון2!Extract</vt:lpstr>
      <vt:lpstr>PERMYA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 Barlev</dc:creator>
  <cp:lastModifiedBy>ilan Barlev</cp:lastModifiedBy>
  <dcterms:created xsi:type="dcterms:W3CDTF">2026-01-19T17:46:41Z</dcterms:created>
  <dcterms:modified xsi:type="dcterms:W3CDTF">2026-02-09T12:43:16Z</dcterms:modified>
</cp:coreProperties>
</file>