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insurance-upr-app\input-file\"/>
    </mc:Choice>
  </mc:AlternateContent>
  <xr:revisionPtr revIDLastSave="0" documentId="13_ncr:1_{1C338762-BFE6-4AA6-8100-0FF7B6E16B76}" xr6:coauthVersionLast="47" xr6:coauthVersionMax="47" xr10:uidLastSave="{00000000-0000-0000-0000-000000000000}"/>
  <bookViews>
    <workbookView xWindow="-120" yWindow="-120" windowWidth="20730" windowHeight="11160" xr2:uid="{83AA7D7F-B5F9-426A-97ED-6D94B3DC1BE1}"/>
  </bookViews>
  <sheets>
    <sheet name="קלט פרודוקציה" sheetId="1" r:id="rId1"/>
  </sheets>
  <definedNames>
    <definedName name="_xlnm._FilterDatabase" localSheetId="0" hidden="1">'קלט פרודוקציה'!$A$1:$E$203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G30" i="1"/>
  <c r="I30" i="1" s="1"/>
  <c r="K30" i="1"/>
  <c r="G29" i="1"/>
  <c r="I29" i="1" s="1"/>
  <c r="E20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K29" i="1" s="1"/>
  <c r="D30" i="1"/>
  <c r="D31" i="1"/>
  <c r="D2" i="1"/>
  <c r="M30" i="1" l="1"/>
  <c r="L29" i="1"/>
  <c r="M29" i="1" s="1"/>
</calcChain>
</file>

<file path=xl/sharedStrings.xml><?xml version="1.0" encoding="utf-8"?>
<sst xmlns="http://schemas.openxmlformats.org/spreadsheetml/2006/main" count="205" uniqueCount="201">
  <si>
    <t>policyNumber</t>
  </si>
  <si>
    <t>branchNumber</t>
  </si>
  <si>
    <t>startDate</t>
  </si>
  <si>
    <t>endDate</t>
  </si>
  <si>
    <t>premiumAmount</t>
  </si>
  <si>
    <t>20251221</t>
  </si>
  <si>
    <t>20252221</t>
  </si>
  <si>
    <t>20253221</t>
  </si>
  <si>
    <t>20251200</t>
  </si>
  <si>
    <t>20252200</t>
  </si>
  <si>
    <t>20253200</t>
  </si>
  <si>
    <t>20251210</t>
  </si>
  <si>
    <t>20252210</t>
  </si>
  <si>
    <t>20253210</t>
  </si>
  <si>
    <t>20251421</t>
  </si>
  <si>
    <t>20252421</t>
  </si>
  <si>
    <t>20253421</t>
  </si>
  <si>
    <t>20252425</t>
  </si>
  <si>
    <t>20253425</t>
  </si>
  <si>
    <t>20251225</t>
  </si>
  <si>
    <t>20252225</t>
  </si>
  <si>
    <t>20253225</t>
  </si>
  <si>
    <t>20251400</t>
  </si>
  <si>
    <t>20252400</t>
  </si>
  <si>
    <t>20253400</t>
  </si>
  <si>
    <t>20251410</t>
  </si>
  <si>
    <t>20252410</t>
  </si>
  <si>
    <t>20253410</t>
  </si>
  <si>
    <t>20251420</t>
  </si>
  <si>
    <t>20252420</t>
  </si>
  <si>
    <t>20253420</t>
  </si>
  <si>
    <t>20251100</t>
  </si>
  <si>
    <t>20252100</t>
  </si>
  <si>
    <t>20253100</t>
  </si>
  <si>
    <t>20254221</t>
  </si>
  <si>
    <t>20255221</t>
  </si>
  <si>
    <t>20256221</t>
  </si>
  <si>
    <t>20257221</t>
  </si>
  <si>
    <t>20258221</t>
  </si>
  <si>
    <t>20259221</t>
  </si>
  <si>
    <t>202510221</t>
  </si>
  <si>
    <t>202511221</t>
  </si>
  <si>
    <t>202512221</t>
  </si>
  <si>
    <t>20261221</t>
  </si>
  <si>
    <t>20262221</t>
  </si>
  <si>
    <t>20263221</t>
  </si>
  <si>
    <t>20264221</t>
  </si>
  <si>
    <t>20265221</t>
  </si>
  <si>
    <t>20266221</t>
  </si>
  <si>
    <t>20267221</t>
  </si>
  <si>
    <t>20268221</t>
  </si>
  <si>
    <t>20269221</t>
  </si>
  <si>
    <t>202610221</t>
  </si>
  <si>
    <t>202611221</t>
  </si>
  <si>
    <t>202612221</t>
  </si>
  <si>
    <t>20254200</t>
  </si>
  <si>
    <t>20255200</t>
  </si>
  <si>
    <t>20256200</t>
  </si>
  <si>
    <t>20257200</t>
  </si>
  <si>
    <t>20258200</t>
  </si>
  <si>
    <t>20259200</t>
  </si>
  <si>
    <t>202510200</t>
  </si>
  <si>
    <t>202511200</t>
  </si>
  <si>
    <t>202512200</t>
  </si>
  <si>
    <t>20261200</t>
  </si>
  <si>
    <t>20262200</t>
  </si>
  <si>
    <t>20263200</t>
  </si>
  <si>
    <t>20264200</t>
  </si>
  <si>
    <t>20265200</t>
  </si>
  <si>
    <t>20266200</t>
  </si>
  <si>
    <t>20267200</t>
  </si>
  <si>
    <t>20268200</t>
  </si>
  <si>
    <t>20269200</t>
  </si>
  <si>
    <t>202610200</t>
  </si>
  <si>
    <t>202611200</t>
  </si>
  <si>
    <t>202612200</t>
  </si>
  <si>
    <t>20261210</t>
  </si>
  <si>
    <t>20262210</t>
  </si>
  <si>
    <t>20263210</t>
  </si>
  <si>
    <t>20264210</t>
  </si>
  <si>
    <t>20265210</t>
  </si>
  <si>
    <t>20266210</t>
  </si>
  <si>
    <t>20267210</t>
  </si>
  <si>
    <t>20268210</t>
  </si>
  <si>
    <t>20269210</t>
  </si>
  <si>
    <t>202610210</t>
  </si>
  <si>
    <t>202611210</t>
  </si>
  <si>
    <t>202612210</t>
  </si>
  <si>
    <t>20257421</t>
  </si>
  <si>
    <t>20258421</t>
  </si>
  <si>
    <t>20259421</t>
  </si>
  <si>
    <t>202510421</t>
  </si>
  <si>
    <t>202511421</t>
  </si>
  <si>
    <t>202512421</t>
  </si>
  <si>
    <t>20261421</t>
  </si>
  <si>
    <t>20262421</t>
  </si>
  <si>
    <t>20263421</t>
  </si>
  <si>
    <t>20264421</t>
  </si>
  <si>
    <t>20265421</t>
  </si>
  <si>
    <t>20266421</t>
  </si>
  <si>
    <t>20267421</t>
  </si>
  <si>
    <t>20268421</t>
  </si>
  <si>
    <t>20269421</t>
  </si>
  <si>
    <t>202610421</t>
  </si>
  <si>
    <t>202611421</t>
  </si>
  <si>
    <t>202612421</t>
  </si>
  <si>
    <t>20262425</t>
  </si>
  <si>
    <t>20263425</t>
  </si>
  <si>
    <t>20264425</t>
  </si>
  <si>
    <t>20265425</t>
  </si>
  <si>
    <t>20266425</t>
  </si>
  <si>
    <t>20267425</t>
  </si>
  <si>
    <t>20268425</t>
  </si>
  <si>
    <t>20269425</t>
  </si>
  <si>
    <t>202610425</t>
  </si>
  <si>
    <t>202611425</t>
  </si>
  <si>
    <t>202612425</t>
  </si>
  <si>
    <t>20261225</t>
  </si>
  <si>
    <t>20262225</t>
  </si>
  <si>
    <t>20263225</t>
  </si>
  <si>
    <t>20264225</t>
  </si>
  <si>
    <t>20265225</t>
  </si>
  <si>
    <t>20266225</t>
  </si>
  <si>
    <t>20267225</t>
  </si>
  <si>
    <t>20268225</t>
  </si>
  <si>
    <t>20269225</t>
  </si>
  <si>
    <t>202610225</t>
  </si>
  <si>
    <t>202611225</t>
  </si>
  <si>
    <t>202612225</t>
  </si>
  <si>
    <t>20259400</t>
  </si>
  <si>
    <t>202510400</t>
  </si>
  <si>
    <t>202511400</t>
  </si>
  <si>
    <t>202512400</t>
  </si>
  <si>
    <t>20261400</t>
  </si>
  <si>
    <t>20262400</t>
  </si>
  <si>
    <t>20263400</t>
  </si>
  <si>
    <t>20264400</t>
  </si>
  <si>
    <t>20265400</t>
  </si>
  <si>
    <t>20266400</t>
  </si>
  <si>
    <t>20267400</t>
  </si>
  <si>
    <t>20268400</t>
  </si>
  <si>
    <t>20269400</t>
  </si>
  <si>
    <t>202610400</t>
  </si>
  <si>
    <t>202611400</t>
  </si>
  <si>
    <t>202612400</t>
  </si>
  <si>
    <t>20261410</t>
  </si>
  <si>
    <t>20262410</t>
  </si>
  <si>
    <t>20263410</t>
  </si>
  <si>
    <t>20264410</t>
  </si>
  <si>
    <t>20265410</t>
  </si>
  <si>
    <t>20266410</t>
  </si>
  <si>
    <t>20267410</t>
  </si>
  <si>
    <t>20268410</t>
  </si>
  <si>
    <t>20269410</t>
  </si>
  <si>
    <t>202610410</t>
  </si>
  <si>
    <t>202611410</t>
  </si>
  <si>
    <t>202612410</t>
  </si>
  <si>
    <t>20261420</t>
  </si>
  <si>
    <t>20262420</t>
  </si>
  <si>
    <t>20263420</t>
  </si>
  <si>
    <t>20264420</t>
  </si>
  <si>
    <t>20265420</t>
  </si>
  <si>
    <t>20266420</t>
  </si>
  <si>
    <t>20267420</t>
  </si>
  <si>
    <t>20268420</t>
  </si>
  <si>
    <t>20269420</t>
  </si>
  <si>
    <t>202610420</t>
  </si>
  <si>
    <t>202611420</t>
  </si>
  <si>
    <t>202612420</t>
  </si>
  <si>
    <t>20254100</t>
  </si>
  <si>
    <t>20255100</t>
  </si>
  <si>
    <t>20256100</t>
  </si>
  <si>
    <t>20257100</t>
  </si>
  <si>
    <t>20258100</t>
  </si>
  <si>
    <t>20259100</t>
  </si>
  <si>
    <t>202510100</t>
  </si>
  <si>
    <t>202511100</t>
  </si>
  <si>
    <t>202512100</t>
  </si>
  <si>
    <t>20261100</t>
  </si>
  <si>
    <t>20262100</t>
  </si>
  <si>
    <t>20263100</t>
  </si>
  <si>
    <t>20264100</t>
  </si>
  <si>
    <t>20265100</t>
  </si>
  <si>
    <t>20266100</t>
  </si>
  <si>
    <t>20267100</t>
  </si>
  <si>
    <t>20268100</t>
  </si>
  <si>
    <t>20269100</t>
  </si>
  <si>
    <t>202610100</t>
  </si>
  <si>
    <t>202611100</t>
  </si>
  <si>
    <t>202612100</t>
  </si>
  <si>
    <t>20264150</t>
  </si>
  <si>
    <t>20265150</t>
  </si>
  <si>
    <t>20266150</t>
  </si>
  <si>
    <t>20267150</t>
  </si>
  <si>
    <t>20268150</t>
  </si>
  <si>
    <t>20269150</t>
  </si>
  <si>
    <t>202610150</t>
  </si>
  <si>
    <t>202611150</t>
  </si>
  <si>
    <t>202612150</t>
  </si>
  <si>
    <t>ימי ביטח</t>
  </si>
  <si>
    <t>ימים שנשארון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</si>
</sst>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42" applyFont="1"/>
    <xf numFmtId="43" fontId="0" fillId="0" borderId="0" xfId="0" applyNumberFormat="1"/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" xfId="42" builtinId="3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F2D8-AF68-4CA3-969C-0D66D7A4550E}">
  <sheetPr filterMode="1"/>
  <dimension ref="A1:M205"/>
  <sheetViews>
    <sheetView rightToLeft="1" tabSelected="1" workbookViewId="0">
      <selection activeCell="L29" sqref="L29"/>
    </sheetView>
  </sheetViews>
  <sheetFormatPr defaultRowHeight="14.25" x14ac:dyDescent="0.2"/>
  <cols>
    <col min="1" max="1" width="15" customWidth="1"/>
    <col min="2" max="2" width="12.25" customWidth="1"/>
    <col min="3" max="3" width="10.5" customWidth="1"/>
    <col min="4" max="4" width="10.625" customWidth="1"/>
    <col min="5" max="5" width="16.5" bestFit="1" customWidth="1"/>
    <col min="7" max="7" width="10.875" bestFit="1" customWidth="1"/>
    <col min="9" max="9" width="10.5" bestFit="1" customWidth="1"/>
    <col min="13" max="13" width="10.87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K1" t="s">
        <v>199</v>
      </c>
      <c r="L1" t="s">
        <v>200</v>
      </c>
    </row>
    <row r="2" spans="1:12" hidden="1" x14ac:dyDescent="0.2">
      <c r="A2" t="s">
        <v>5</v>
      </c>
      <c r="B2">
        <v>221</v>
      </c>
      <c r="C2" s="1">
        <v>45658</v>
      </c>
      <c r="D2" s="1">
        <f>C2+365-1</f>
        <v>46022</v>
      </c>
      <c r="E2" s="2">
        <v>5320000</v>
      </c>
    </row>
    <row r="3" spans="1:12" hidden="1" x14ac:dyDescent="0.2">
      <c r="A3" t="s">
        <v>6</v>
      </c>
      <c r="B3">
        <v>221</v>
      </c>
      <c r="C3" s="1">
        <v>45689</v>
      </c>
      <c r="D3" s="1">
        <f t="shared" ref="D3:D31" si="0">C3+365-1</f>
        <v>46053</v>
      </c>
      <c r="E3">
        <v>5130000</v>
      </c>
    </row>
    <row r="4" spans="1:12" hidden="1" x14ac:dyDescent="0.2">
      <c r="A4" t="s">
        <v>7</v>
      </c>
      <c r="B4">
        <v>221</v>
      </c>
      <c r="C4" s="1">
        <v>45717</v>
      </c>
      <c r="D4" s="1">
        <f t="shared" si="0"/>
        <v>46081</v>
      </c>
      <c r="E4">
        <v>5354770</v>
      </c>
    </row>
    <row r="5" spans="1:12" hidden="1" x14ac:dyDescent="0.2">
      <c r="A5" t="s">
        <v>8</v>
      </c>
      <c r="B5">
        <v>200</v>
      </c>
      <c r="C5" s="1">
        <v>45658</v>
      </c>
      <c r="D5" s="1">
        <f t="shared" si="0"/>
        <v>46022</v>
      </c>
      <c r="E5" s="2">
        <v>6977208</v>
      </c>
    </row>
    <row r="6" spans="1:12" hidden="1" x14ac:dyDescent="0.2">
      <c r="A6" t="s">
        <v>9</v>
      </c>
      <c r="B6">
        <v>200</v>
      </c>
      <c r="C6" s="1">
        <v>45689</v>
      </c>
      <c r="D6" s="1">
        <f t="shared" si="0"/>
        <v>46053</v>
      </c>
      <c r="E6">
        <v>6708744</v>
      </c>
    </row>
    <row r="7" spans="1:12" hidden="1" x14ac:dyDescent="0.2">
      <c r="A7" t="s">
        <v>10</v>
      </c>
      <c r="B7">
        <v>200</v>
      </c>
      <c r="C7" s="1">
        <v>45717</v>
      </c>
      <c r="D7" s="1">
        <f t="shared" si="0"/>
        <v>46081</v>
      </c>
      <c r="E7">
        <v>7007665</v>
      </c>
    </row>
    <row r="8" spans="1:12" hidden="1" x14ac:dyDescent="0.2">
      <c r="A8" t="s">
        <v>11</v>
      </c>
      <c r="B8">
        <v>210</v>
      </c>
      <c r="C8" s="1">
        <v>45658</v>
      </c>
      <c r="D8" s="1">
        <f t="shared" si="0"/>
        <v>46022</v>
      </c>
      <c r="E8" s="2">
        <v>1509057</v>
      </c>
    </row>
    <row r="9" spans="1:12" hidden="1" x14ac:dyDescent="0.2">
      <c r="A9" t="s">
        <v>12</v>
      </c>
      <c r="B9">
        <v>210</v>
      </c>
      <c r="C9" s="1">
        <v>45689</v>
      </c>
      <c r="D9" s="1">
        <f t="shared" si="0"/>
        <v>46053</v>
      </c>
      <c r="E9">
        <v>1426059</v>
      </c>
    </row>
    <row r="10" spans="1:12" hidden="1" x14ac:dyDescent="0.2">
      <c r="A10" t="s">
        <v>13</v>
      </c>
      <c r="B10">
        <v>210</v>
      </c>
      <c r="C10" s="1">
        <v>45717</v>
      </c>
      <c r="D10" s="1">
        <f t="shared" si="0"/>
        <v>46081</v>
      </c>
      <c r="E10">
        <v>1397538</v>
      </c>
    </row>
    <row r="11" spans="1:12" hidden="1" x14ac:dyDescent="0.2">
      <c r="A11" t="s">
        <v>14</v>
      </c>
      <c r="B11">
        <v>421</v>
      </c>
      <c r="C11" s="1">
        <v>45658</v>
      </c>
      <c r="D11" s="1">
        <f t="shared" si="0"/>
        <v>46022</v>
      </c>
      <c r="E11" s="2">
        <v>6160000</v>
      </c>
    </row>
    <row r="12" spans="1:12" hidden="1" x14ac:dyDescent="0.2">
      <c r="A12" t="s">
        <v>15</v>
      </c>
      <c r="B12">
        <v>421</v>
      </c>
      <c r="C12" s="1">
        <v>45689</v>
      </c>
      <c r="D12" s="1">
        <f t="shared" si="0"/>
        <v>46053</v>
      </c>
      <c r="E12">
        <v>2240000</v>
      </c>
    </row>
    <row r="13" spans="1:12" hidden="1" x14ac:dyDescent="0.2">
      <c r="A13" t="s">
        <v>16</v>
      </c>
      <c r="B13">
        <v>421</v>
      </c>
      <c r="C13" s="1">
        <v>45717</v>
      </c>
      <c r="D13" s="1">
        <f t="shared" si="0"/>
        <v>46081</v>
      </c>
      <c r="E13">
        <v>2240000</v>
      </c>
    </row>
    <row r="14" spans="1:12" hidden="1" x14ac:dyDescent="0.2">
      <c r="A14" t="s">
        <v>14</v>
      </c>
      <c r="B14">
        <v>421</v>
      </c>
      <c r="C14" s="1">
        <v>45658</v>
      </c>
      <c r="D14" s="1">
        <f t="shared" si="0"/>
        <v>46022</v>
      </c>
      <c r="E14" s="2">
        <v>529000</v>
      </c>
    </row>
    <row r="15" spans="1:12" hidden="1" x14ac:dyDescent="0.2">
      <c r="A15" t="s">
        <v>17</v>
      </c>
      <c r="B15">
        <v>425</v>
      </c>
      <c r="C15" s="1">
        <v>45689</v>
      </c>
      <c r="D15" s="1">
        <f t="shared" si="0"/>
        <v>46053</v>
      </c>
      <c r="E15">
        <v>192364</v>
      </c>
    </row>
    <row r="16" spans="1:12" hidden="1" x14ac:dyDescent="0.2">
      <c r="A16" t="s">
        <v>18</v>
      </c>
      <c r="B16">
        <v>425</v>
      </c>
      <c r="C16" s="1">
        <v>45717</v>
      </c>
      <c r="D16" s="1">
        <f t="shared" si="0"/>
        <v>46081</v>
      </c>
      <c r="E16">
        <v>192364</v>
      </c>
    </row>
    <row r="17" spans="1:13" hidden="1" x14ac:dyDescent="0.2">
      <c r="A17" t="s">
        <v>19</v>
      </c>
      <c r="B17">
        <v>225</v>
      </c>
      <c r="C17" s="1">
        <v>45658</v>
      </c>
      <c r="D17" s="1">
        <f t="shared" si="0"/>
        <v>46022</v>
      </c>
      <c r="E17" s="2">
        <v>6020000</v>
      </c>
    </row>
    <row r="18" spans="1:13" hidden="1" x14ac:dyDescent="0.2">
      <c r="A18" t="s">
        <v>20</v>
      </c>
      <c r="B18">
        <v>225</v>
      </c>
      <c r="C18" s="1">
        <v>45689</v>
      </c>
      <c r="D18" s="1">
        <f t="shared" si="0"/>
        <v>46053</v>
      </c>
      <c r="E18">
        <v>2189091</v>
      </c>
    </row>
    <row r="19" spans="1:13" hidden="1" x14ac:dyDescent="0.2">
      <c r="A19" t="s">
        <v>21</v>
      </c>
      <c r="B19">
        <v>225</v>
      </c>
      <c r="C19" s="1">
        <v>45717</v>
      </c>
      <c r="D19" s="1">
        <f t="shared" si="0"/>
        <v>46081</v>
      </c>
      <c r="E19">
        <v>2189091</v>
      </c>
    </row>
    <row r="20" spans="1:13" hidden="1" x14ac:dyDescent="0.2">
      <c r="A20" t="s">
        <v>22</v>
      </c>
      <c r="B20">
        <v>400</v>
      </c>
      <c r="C20" s="1">
        <v>45658</v>
      </c>
      <c r="D20" s="1">
        <f t="shared" si="0"/>
        <v>46022</v>
      </c>
      <c r="E20" s="2">
        <v>2125000</v>
      </c>
    </row>
    <row r="21" spans="1:13" hidden="1" x14ac:dyDescent="0.2">
      <c r="A21" t="s">
        <v>23</v>
      </c>
      <c r="B21">
        <v>400</v>
      </c>
      <c r="C21" s="1">
        <v>45689</v>
      </c>
      <c r="D21" s="1">
        <f t="shared" si="0"/>
        <v>46053</v>
      </c>
      <c r="E21">
        <v>772727</v>
      </c>
    </row>
    <row r="22" spans="1:13" hidden="1" x14ac:dyDescent="0.2">
      <c r="A22" t="s">
        <v>24</v>
      </c>
      <c r="B22">
        <v>400</v>
      </c>
      <c r="C22" s="1">
        <v>45717</v>
      </c>
      <c r="D22" s="1">
        <f t="shared" si="0"/>
        <v>46081</v>
      </c>
      <c r="E22">
        <v>772727</v>
      </c>
    </row>
    <row r="23" spans="1:13" hidden="1" x14ac:dyDescent="0.2">
      <c r="A23" t="s">
        <v>25</v>
      </c>
      <c r="B23">
        <v>410</v>
      </c>
      <c r="C23" s="1">
        <v>45658</v>
      </c>
      <c r="D23" s="1">
        <f t="shared" si="0"/>
        <v>46022</v>
      </c>
      <c r="E23" s="2">
        <v>84000</v>
      </c>
    </row>
    <row r="24" spans="1:13" hidden="1" x14ac:dyDescent="0.2">
      <c r="A24" t="s">
        <v>26</v>
      </c>
      <c r="B24">
        <v>410</v>
      </c>
      <c r="C24" s="1">
        <v>45689</v>
      </c>
      <c r="D24" s="1">
        <f t="shared" si="0"/>
        <v>46053</v>
      </c>
      <c r="E24">
        <v>30545</v>
      </c>
    </row>
    <row r="25" spans="1:13" hidden="1" x14ac:dyDescent="0.2">
      <c r="A25" t="s">
        <v>27</v>
      </c>
      <c r="B25">
        <v>410</v>
      </c>
      <c r="C25" s="1">
        <v>45717</v>
      </c>
      <c r="D25" s="1">
        <f t="shared" si="0"/>
        <v>46081</v>
      </c>
      <c r="E25">
        <v>30545</v>
      </c>
    </row>
    <row r="26" spans="1:13" hidden="1" x14ac:dyDescent="0.2">
      <c r="A26" t="s">
        <v>28</v>
      </c>
      <c r="B26">
        <v>420</v>
      </c>
      <c r="C26" s="1">
        <v>45658</v>
      </c>
      <c r="D26" s="1">
        <f t="shared" si="0"/>
        <v>46022</v>
      </c>
      <c r="E26" s="2">
        <v>1440000</v>
      </c>
    </row>
    <row r="27" spans="1:13" hidden="1" x14ac:dyDescent="0.2">
      <c r="A27" t="s">
        <v>29</v>
      </c>
      <c r="B27">
        <v>420</v>
      </c>
      <c r="C27" s="1">
        <v>45689</v>
      </c>
      <c r="D27" s="1">
        <f t="shared" si="0"/>
        <v>46053</v>
      </c>
      <c r="E27">
        <v>523636</v>
      </c>
    </row>
    <row r="28" spans="1:13" hidden="1" x14ac:dyDescent="0.2">
      <c r="A28" t="s">
        <v>30</v>
      </c>
      <c r="B28">
        <v>420</v>
      </c>
      <c r="C28" s="1">
        <v>45717</v>
      </c>
      <c r="D28" s="1">
        <f t="shared" si="0"/>
        <v>46081</v>
      </c>
      <c r="E28">
        <v>523636</v>
      </c>
    </row>
    <row r="29" spans="1:13" x14ac:dyDescent="0.2">
      <c r="A29" t="s">
        <v>31</v>
      </c>
      <c r="B29">
        <v>100</v>
      </c>
      <c r="C29" s="1">
        <v>45658</v>
      </c>
      <c r="D29" s="1">
        <f t="shared" si="0"/>
        <v>46022</v>
      </c>
      <c r="E29" s="2">
        <v>297275</v>
      </c>
      <c r="G29" s="3">
        <f>E29/12*11</f>
        <v>272502.08333333337</v>
      </c>
      <c r="H29">
        <v>271958</v>
      </c>
      <c r="I29" s="3">
        <f>H29-G29</f>
        <v>-544.08333333337214</v>
      </c>
      <c r="K29">
        <f>D29-C29</f>
        <v>364</v>
      </c>
      <c r="L29">
        <f>K29-31</f>
        <v>333</v>
      </c>
      <c r="M29" s="3">
        <f>E29/K29*L29</f>
        <v>271957.62362637359</v>
      </c>
    </row>
    <row r="30" spans="1:13" x14ac:dyDescent="0.2">
      <c r="A30" t="s">
        <v>32</v>
      </c>
      <c r="B30">
        <v>100</v>
      </c>
      <c r="C30" s="1">
        <v>45689</v>
      </c>
      <c r="D30" s="1">
        <f t="shared" si="0"/>
        <v>46053</v>
      </c>
      <c r="E30" s="2">
        <v>327003</v>
      </c>
      <c r="G30" s="3">
        <f>E30/12*10</f>
        <v>272502.5</v>
      </c>
      <c r="H30">
        <v>550939</v>
      </c>
      <c r="I30" s="3">
        <f>H30-G30</f>
        <v>278436.5</v>
      </c>
      <c r="K30">
        <f>D30-C30</f>
        <v>364</v>
      </c>
      <c r="L30">
        <f>K30-31-28</f>
        <v>305</v>
      </c>
      <c r="M30" s="3">
        <f>E30/K30*L30</f>
        <v>273999.76648351649</v>
      </c>
    </row>
    <row r="31" spans="1:13" hidden="1" x14ac:dyDescent="0.2">
      <c r="A31" t="s">
        <v>33</v>
      </c>
      <c r="B31">
        <v>100</v>
      </c>
      <c r="C31" s="1">
        <v>45717</v>
      </c>
      <c r="D31" s="1">
        <f t="shared" si="0"/>
        <v>46081</v>
      </c>
      <c r="E31">
        <v>423240</v>
      </c>
    </row>
    <row r="32" spans="1:13" hidden="1" x14ac:dyDescent="0.2"/>
    <row r="33" spans="1:5" hidden="1" x14ac:dyDescent="0.2"/>
    <row r="34" spans="1:5" hidden="1" x14ac:dyDescent="0.2"/>
    <row r="35" spans="1:5" hidden="1" x14ac:dyDescent="0.2"/>
    <row r="36" spans="1:5" hidden="1" x14ac:dyDescent="0.2">
      <c r="A36" t="s">
        <v>7</v>
      </c>
      <c r="B36">
        <v>221</v>
      </c>
      <c r="C36" s="1">
        <v>45717</v>
      </c>
      <c r="D36" s="1">
        <v>46082</v>
      </c>
      <c r="E36">
        <v>46319</v>
      </c>
    </row>
    <row r="37" spans="1:5" hidden="1" x14ac:dyDescent="0.2">
      <c r="A37" t="s">
        <v>34</v>
      </c>
      <c r="B37">
        <v>221</v>
      </c>
      <c r="C37" s="1">
        <v>45748</v>
      </c>
      <c r="D37" s="1">
        <v>46113</v>
      </c>
      <c r="E37">
        <v>448737</v>
      </c>
    </row>
    <row r="38" spans="1:5" hidden="1" x14ac:dyDescent="0.2">
      <c r="A38" t="s">
        <v>35</v>
      </c>
      <c r="B38">
        <v>221</v>
      </c>
      <c r="C38" s="1">
        <v>45778</v>
      </c>
      <c r="D38" s="1">
        <v>46143</v>
      </c>
      <c r="E38">
        <v>565905</v>
      </c>
    </row>
    <row r="39" spans="1:5" hidden="1" x14ac:dyDescent="0.2">
      <c r="A39" t="s">
        <v>36</v>
      </c>
      <c r="B39">
        <v>221</v>
      </c>
      <c r="C39" s="1">
        <v>45809</v>
      </c>
      <c r="D39" s="1">
        <v>46174</v>
      </c>
      <c r="E39">
        <v>1426814</v>
      </c>
    </row>
    <row r="40" spans="1:5" hidden="1" x14ac:dyDescent="0.2">
      <c r="A40" t="s">
        <v>37</v>
      </c>
      <c r="B40">
        <v>221</v>
      </c>
      <c r="C40" s="1">
        <v>45839</v>
      </c>
      <c r="D40" s="1">
        <v>46204</v>
      </c>
      <c r="E40">
        <v>2492297</v>
      </c>
    </row>
    <row r="41" spans="1:5" hidden="1" x14ac:dyDescent="0.2">
      <c r="A41" t="s">
        <v>38</v>
      </c>
      <c r="B41">
        <v>221</v>
      </c>
      <c r="C41" s="1">
        <v>45870</v>
      </c>
      <c r="D41" s="1">
        <v>46235</v>
      </c>
      <c r="E41">
        <v>3093156</v>
      </c>
    </row>
    <row r="42" spans="1:5" hidden="1" x14ac:dyDescent="0.2">
      <c r="A42" t="s">
        <v>39</v>
      </c>
      <c r="B42">
        <v>221</v>
      </c>
      <c r="C42" s="1">
        <v>45901</v>
      </c>
      <c r="D42" s="1">
        <v>46266</v>
      </c>
      <c r="E42">
        <v>5066358</v>
      </c>
    </row>
    <row r="43" spans="1:5" hidden="1" x14ac:dyDescent="0.2">
      <c r="A43" t="s">
        <v>40</v>
      </c>
      <c r="B43">
        <v>221</v>
      </c>
      <c r="C43" s="1">
        <v>45931</v>
      </c>
      <c r="D43" s="1">
        <v>46296</v>
      </c>
      <c r="E43">
        <v>5169409</v>
      </c>
    </row>
    <row r="44" spans="1:5" hidden="1" x14ac:dyDescent="0.2">
      <c r="A44" t="s">
        <v>41</v>
      </c>
      <c r="B44">
        <v>221</v>
      </c>
      <c r="C44" s="1">
        <v>45962</v>
      </c>
      <c r="D44" s="1">
        <v>46327</v>
      </c>
      <c r="E44">
        <v>5963173</v>
      </c>
    </row>
    <row r="45" spans="1:5" hidden="1" x14ac:dyDescent="0.2">
      <c r="A45" t="s">
        <v>42</v>
      </c>
      <c r="B45">
        <v>221</v>
      </c>
      <c r="C45" s="1">
        <v>45992</v>
      </c>
      <c r="D45" s="1">
        <v>46357</v>
      </c>
      <c r="E45">
        <v>5782596</v>
      </c>
    </row>
    <row r="46" spans="1:5" hidden="1" x14ac:dyDescent="0.2">
      <c r="A46" t="s">
        <v>43</v>
      </c>
      <c r="B46">
        <v>221</v>
      </c>
      <c r="C46" s="1">
        <v>46023</v>
      </c>
      <c r="D46" s="1">
        <v>46388</v>
      </c>
      <c r="E46">
        <v>5320000</v>
      </c>
    </row>
    <row r="47" spans="1:5" hidden="1" x14ac:dyDescent="0.2">
      <c r="A47" t="s">
        <v>44</v>
      </c>
      <c r="B47">
        <v>221</v>
      </c>
      <c r="C47" s="1">
        <v>46054</v>
      </c>
      <c r="D47" s="1">
        <v>46419</v>
      </c>
      <c r="E47">
        <v>5130000</v>
      </c>
    </row>
    <row r="48" spans="1:5" hidden="1" x14ac:dyDescent="0.2">
      <c r="A48" t="s">
        <v>45</v>
      </c>
      <c r="B48">
        <v>221</v>
      </c>
      <c r="C48" s="1">
        <v>46082</v>
      </c>
      <c r="D48" s="1">
        <v>46447</v>
      </c>
      <c r="E48">
        <v>5354770</v>
      </c>
    </row>
    <row r="49" spans="1:5" hidden="1" x14ac:dyDescent="0.2">
      <c r="A49" t="s">
        <v>46</v>
      </c>
      <c r="B49">
        <v>221</v>
      </c>
      <c r="C49" s="1">
        <v>46113</v>
      </c>
      <c r="D49" s="1">
        <v>46478</v>
      </c>
      <c r="E49">
        <v>5425260</v>
      </c>
    </row>
    <row r="50" spans="1:5" hidden="1" x14ac:dyDescent="0.2">
      <c r="A50" t="s">
        <v>47</v>
      </c>
      <c r="B50">
        <v>221</v>
      </c>
      <c r="C50" s="1">
        <v>46143</v>
      </c>
      <c r="D50" s="1">
        <v>46508</v>
      </c>
      <c r="E50">
        <v>6064990</v>
      </c>
    </row>
    <row r="51" spans="1:5" hidden="1" x14ac:dyDescent="0.2">
      <c r="A51" t="s">
        <v>48</v>
      </c>
      <c r="B51">
        <v>221</v>
      </c>
      <c r="C51" s="1">
        <v>46174</v>
      </c>
      <c r="D51" s="1">
        <v>46539</v>
      </c>
      <c r="E51">
        <v>6397490</v>
      </c>
    </row>
    <row r="52" spans="1:5" hidden="1" x14ac:dyDescent="0.2">
      <c r="A52" t="s">
        <v>49</v>
      </c>
      <c r="B52">
        <v>221</v>
      </c>
      <c r="C52" s="1">
        <v>46204</v>
      </c>
      <c r="D52" s="1">
        <v>46569</v>
      </c>
      <c r="E52">
        <v>7435460</v>
      </c>
    </row>
    <row r="53" spans="1:5" hidden="1" x14ac:dyDescent="0.2">
      <c r="A53" t="s">
        <v>50</v>
      </c>
      <c r="B53">
        <v>221</v>
      </c>
      <c r="C53" s="1">
        <v>46235</v>
      </c>
      <c r="D53" s="1">
        <v>46600</v>
      </c>
      <c r="E53">
        <v>8222440</v>
      </c>
    </row>
    <row r="54" spans="1:5" hidden="1" x14ac:dyDescent="0.2">
      <c r="A54" t="s">
        <v>51</v>
      </c>
      <c r="B54">
        <v>221</v>
      </c>
      <c r="C54" s="1">
        <v>46266</v>
      </c>
      <c r="D54" s="1">
        <v>46631</v>
      </c>
      <c r="E54">
        <v>9609060</v>
      </c>
    </row>
    <row r="55" spans="1:5" hidden="1" x14ac:dyDescent="0.2">
      <c r="A55" t="s">
        <v>52</v>
      </c>
      <c r="B55">
        <v>221</v>
      </c>
      <c r="C55" s="1">
        <v>46296</v>
      </c>
      <c r="D55" s="1">
        <v>46661</v>
      </c>
      <c r="E55">
        <v>9130260</v>
      </c>
    </row>
    <row r="56" spans="1:5" hidden="1" x14ac:dyDescent="0.2">
      <c r="A56" t="s">
        <v>53</v>
      </c>
      <c r="B56">
        <v>221</v>
      </c>
      <c r="C56" s="1">
        <v>46327</v>
      </c>
      <c r="D56" s="1">
        <v>46692</v>
      </c>
      <c r="E56">
        <v>9620840</v>
      </c>
    </row>
    <row r="57" spans="1:5" hidden="1" x14ac:dyDescent="0.2">
      <c r="A57" t="s">
        <v>54</v>
      </c>
      <c r="B57">
        <v>221</v>
      </c>
      <c r="C57" s="1">
        <v>46357</v>
      </c>
      <c r="D57" s="1">
        <v>46722</v>
      </c>
      <c r="E57">
        <v>12290720</v>
      </c>
    </row>
    <row r="58" spans="1:5" hidden="1" x14ac:dyDescent="0.2">
      <c r="A58" t="s">
        <v>10</v>
      </c>
      <c r="B58">
        <v>200</v>
      </c>
      <c r="C58" s="1">
        <v>45717</v>
      </c>
      <c r="D58" s="1">
        <v>46082</v>
      </c>
      <c r="E58">
        <v>107008</v>
      </c>
    </row>
    <row r="59" spans="1:5" hidden="1" x14ac:dyDescent="0.2">
      <c r="A59" t="s">
        <v>55</v>
      </c>
      <c r="B59">
        <v>200</v>
      </c>
      <c r="C59" s="1">
        <v>45748</v>
      </c>
      <c r="D59" s="1">
        <v>46113</v>
      </c>
      <c r="E59">
        <v>969672</v>
      </c>
    </row>
    <row r="60" spans="1:5" hidden="1" x14ac:dyDescent="0.2">
      <c r="A60" t="s">
        <v>56</v>
      </c>
      <c r="B60">
        <v>200</v>
      </c>
      <c r="C60" s="1">
        <v>45778</v>
      </c>
      <c r="D60" s="1">
        <v>46143</v>
      </c>
      <c r="E60">
        <v>1327534</v>
      </c>
    </row>
    <row r="61" spans="1:5" hidden="1" x14ac:dyDescent="0.2">
      <c r="A61" t="s">
        <v>57</v>
      </c>
      <c r="B61">
        <v>200</v>
      </c>
      <c r="C61" s="1">
        <v>45809</v>
      </c>
      <c r="D61" s="1">
        <v>46174</v>
      </c>
      <c r="E61">
        <v>2941562</v>
      </c>
    </row>
    <row r="62" spans="1:5" hidden="1" x14ac:dyDescent="0.2">
      <c r="A62" t="s">
        <v>58</v>
      </c>
      <c r="B62">
        <v>200</v>
      </c>
      <c r="C62" s="1">
        <v>45839</v>
      </c>
      <c r="D62" s="1">
        <v>46204</v>
      </c>
      <c r="E62">
        <v>4528401</v>
      </c>
    </row>
    <row r="63" spans="1:5" hidden="1" x14ac:dyDescent="0.2">
      <c r="A63" t="s">
        <v>59</v>
      </c>
      <c r="B63">
        <v>200</v>
      </c>
      <c r="C63" s="1">
        <v>45870</v>
      </c>
      <c r="D63" s="1">
        <v>46235</v>
      </c>
      <c r="E63">
        <v>5457353</v>
      </c>
    </row>
    <row r="64" spans="1:5" hidden="1" x14ac:dyDescent="0.2">
      <c r="A64" t="s">
        <v>60</v>
      </c>
      <c r="B64">
        <v>200</v>
      </c>
      <c r="C64" s="1">
        <v>45901</v>
      </c>
      <c r="D64" s="1">
        <v>46266</v>
      </c>
      <c r="E64">
        <v>8362511</v>
      </c>
    </row>
    <row r="65" spans="1:5" hidden="1" x14ac:dyDescent="0.2">
      <c r="A65" t="s">
        <v>61</v>
      </c>
      <c r="B65">
        <v>200</v>
      </c>
      <c r="C65" s="1">
        <v>45931</v>
      </c>
      <c r="D65" s="1">
        <v>46296</v>
      </c>
      <c r="E65">
        <v>8223845</v>
      </c>
    </row>
    <row r="66" spans="1:5" hidden="1" x14ac:dyDescent="0.2">
      <c r="A66" t="s">
        <v>62</v>
      </c>
      <c r="B66">
        <v>200</v>
      </c>
      <c r="C66" s="1">
        <v>45962</v>
      </c>
      <c r="D66" s="1">
        <v>46327</v>
      </c>
      <c r="E66">
        <v>10111913</v>
      </c>
    </row>
    <row r="67" spans="1:5" hidden="1" x14ac:dyDescent="0.2">
      <c r="A67" t="s">
        <v>63</v>
      </c>
      <c r="B67">
        <v>200</v>
      </c>
      <c r="C67" s="1">
        <v>45992</v>
      </c>
      <c r="D67" s="1">
        <v>46357</v>
      </c>
      <c r="E67">
        <v>9082928</v>
      </c>
    </row>
    <row r="68" spans="1:5" hidden="1" x14ac:dyDescent="0.2">
      <c r="A68" t="s">
        <v>64</v>
      </c>
      <c r="B68">
        <v>200</v>
      </c>
      <c r="C68" s="1">
        <v>46023</v>
      </c>
      <c r="D68" s="1">
        <v>46388</v>
      </c>
      <c r="E68">
        <v>6977208</v>
      </c>
    </row>
    <row r="69" spans="1:5" hidden="1" x14ac:dyDescent="0.2">
      <c r="A69" t="s">
        <v>65</v>
      </c>
      <c r="B69">
        <v>200</v>
      </c>
      <c r="C69" s="1">
        <v>46054</v>
      </c>
      <c r="D69" s="1">
        <v>46419</v>
      </c>
      <c r="E69">
        <v>6708744</v>
      </c>
    </row>
    <row r="70" spans="1:5" hidden="1" x14ac:dyDescent="0.2">
      <c r="A70" t="s">
        <v>66</v>
      </c>
      <c r="B70">
        <v>200</v>
      </c>
      <c r="C70" s="1">
        <v>46082</v>
      </c>
      <c r="D70" s="1">
        <v>46447</v>
      </c>
      <c r="E70">
        <v>7007665</v>
      </c>
    </row>
    <row r="71" spans="1:5" hidden="1" x14ac:dyDescent="0.2">
      <c r="A71" t="s">
        <v>67</v>
      </c>
      <c r="B71">
        <v>200</v>
      </c>
      <c r="C71" s="1">
        <v>46113</v>
      </c>
      <c r="D71" s="1">
        <v>46478</v>
      </c>
      <c r="E71">
        <v>7004424</v>
      </c>
    </row>
    <row r="72" spans="1:5" hidden="1" x14ac:dyDescent="0.2">
      <c r="A72" t="s">
        <v>68</v>
      </c>
      <c r="B72">
        <v>200</v>
      </c>
      <c r="C72" s="1">
        <v>46143</v>
      </c>
      <c r="D72" s="1">
        <v>46508</v>
      </c>
      <c r="E72">
        <v>7998480</v>
      </c>
    </row>
    <row r="73" spans="1:5" hidden="1" x14ac:dyDescent="0.2">
      <c r="A73" t="s">
        <v>69</v>
      </c>
      <c r="B73">
        <v>200</v>
      </c>
      <c r="C73" s="1">
        <v>46174</v>
      </c>
      <c r="D73" s="1">
        <v>46539</v>
      </c>
      <c r="E73">
        <v>7862120</v>
      </c>
    </row>
    <row r="74" spans="1:5" hidden="1" x14ac:dyDescent="0.2">
      <c r="A74" t="s">
        <v>70</v>
      </c>
      <c r="B74">
        <v>200</v>
      </c>
      <c r="C74" s="1">
        <v>46204</v>
      </c>
      <c r="D74" s="1">
        <v>46569</v>
      </c>
      <c r="E74">
        <v>9443133</v>
      </c>
    </row>
    <row r="75" spans="1:5" hidden="1" x14ac:dyDescent="0.2">
      <c r="A75" t="s">
        <v>71</v>
      </c>
      <c r="B75">
        <v>200</v>
      </c>
      <c r="C75" s="1">
        <v>46235</v>
      </c>
      <c r="D75" s="1">
        <v>46600</v>
      </c>
      <c r="E75">
        <v>10496828</v>
      </c>
    </row>
    <row r="76" spans="1:5" hidden="1" x14ac:dyDescent="0.2">
      <c r="A76" t="s">
        <v>72</v>
      </c>
      <c r="B76">
        <v>200</v>
      </c>
      <c r="C76" s="1">
        <v>46266</v>
      </c>
      <c r="D76" s="1">
        <v>46631</v>
      </c>
      <c r="E76">
        <v>12925605</v>
      </c>
    </row>
    <row r="77" spans="1:5" hidden="1" x14ac:dyDescent="0.2">
      <c r="A77" t="s">
        <v>73</v>
      </c>
      <c r="B77">
        <v>200</v>
      </c>
      <c r="C77" s="1">
        <v>46296</v>
      </c>
      <c r="D77" s="1">
        <v>46661</v>
      </c>
      <c r="E77">
        <v>11759580</v>
      </c>
    </row>
    <row r="78" spans="1:5" hidden="1" x14ac:dyDescent="0.2">
      <c r="A78" t="s">
        <v>74</v>
      </c>
      <c r="B78">
        <v>200</v>
      </c>
      <c r="C78" s="1">
        <v>46327</v>
      </c>
      <c r="D78" s="1">
        <v>46692</v>
      </c>
      <c r="E78">
        <v>11993142</v>
      </c>
    </row>
    <row r="79" spans="1:5" hidden="1" x14ac:dyDescent="0.2">
      <c r="A79" t="s">
        <v>75</v>
      </c>
      <c r="B79">
        <v>200</v>
      </c>
      <c r="C79" s="1">
        <v>46357</v>
      </c>
      <c r="D79" s="1">
        <v>46722</v>
      </c>
      <c r="E79">
        <v>14768572</v>
      </c>
    </row>
    <row r="80" spans="1:5" hidden="1" x14ac:dyDescent="0.2">
      <c r="A80" t="s">
        <v>76</v>
      </c>
      <c r="B80">
        <v>210</v>
      </c>
      <c r="C80" s="1">
        <v>46023</v>
      </c>
      <c r="D80" s="1">
        <v>46388</v>
      </c>
      <c r="E80">
        <v>1509057</v>
      </c>
    </row>
    <row r="81" spans="1:5" hidden="1" x14ac:dyDescent="0.2">
      <c r="A81" t="s">
        <v>77</v>
      </c>
      <c r="B81">
        <v>210</v>
      </c>
      <c r="C81" s="1">
        <v>46054</v>
      </c>
      <c r="D81" s="1">
        <v>46419</v>
      </c>
      <c r="E81">
        <v>1426059</v>
      </c>
    </row>
    <row r="82" spans="1:5" hidden="1" x14ac:dyDescent="0.2">
      <c r="A82" t="s">
        <v>78</v>
      </c>
      <c r="B82">
        <v>210</v>
      </c>
      <c r="C82" s="1">
        <v>46082</v>
      </c>
      <c r="D82" s="1">
        <v>46447</v>
      </c>
      <c r="E82">
        <v>1397538</v>
      </c>
    </row>
    <row r="83" spans="1:5" hidden="1" x14ac:dyDescent="0.2">
      <c r="A83" t="s">
        <v>79</v>
      </c>
      <c r="B83">
        <v>210</v>
      </c>
      <c r="C83" s="1">
        <v>46113</v>
      </c>
      <c r="D83" s="1">
        <v>46478</v>
      </c>
      <c r="E83">
        <v>1369587</v>
      </c>
    </row>
    <row r="84" spans="1:5" hidden="1" x14ac:dyDescent="0.2">
      <c r="A84" t="s">
        <v>80</v>
      </c>
      <c r="B84">
        <v>210</v>
      </c>
      <c r="C84" s="1">
        <v>46143</v>
      </c>
      <c r="D84" s="1">
        <v>46508</v>
      </c>
      <c r="E84">
        <v>1342195</v>
      </c>
    </row>
    <row r="85" spans="1:5" hidden="1" x14ac:dyDescent="0.2">
      <c r="A85" t="s">
        <v>81</v>
      </c>
      <c r="B85">
        <v>210</v>
      </c>
      <c r="C85" s="1">
        <v>46174</v>
      </c>
      <c r="D85" s="1">
        <v>46539</v>
      </c>
      <c r="E85">
        <v>1507034</v>
      </c>
    </row>
    <row r="86" spans="1:5" hidden="1" x14ac:dyDescent="0.2">
      <c r="A86" t="s">
        <v>82</v>
      </c>
      <c r="B86">
        <v>210</v>
      </c>
      <c r="C86" s="1">
        <v>46204</v>
      </c>
      <c r="D86" s="1">
        <v>46569</v>
      </c>
      <c r="E86">
        <v>1343965</v>
      </c>
    </row>
    <row r="87" spans="1:5" hidden="1" x14ac:dyDescent="0.2">
      <c r="A87" t="s">
        <v>83</v>
      </c>
      <c r="B87">
        <v>210</v>
      </c>
      <c r="C87" s="1">
        <v>46235</v>
      </c>
      <c r="D87" s="1">
        <v>46600</v>
      </c>
      <c r="E87">
        <v>1410248</v>
      </c>
    </row>
    <row r="88" spans="1:5" hidden="1" x14ac:dyDescent="0.2">
      <c r="A88" t="s">
        <v>84</v>
      </c>
      <c r="B88">
        <v>210</v>
      </c>
      <c r="C88" s="1">
        <v>46266</v>
      </c>
      <c r="D88" s="1">
        <v>46631</v>
      </c>
      <c r="E88">
        <v>2243461</v>
      </c>
    </row>
    <row r="89" spans="1:5" hidden="1" x14ac:dyDescent="0.2">
      <c r="A89" t="s">
        <v>85</v>
      </c>
      <c r="B89">
        <v>210</v>
      </c>
      <c r="C89" s="1">
        <v>46296</v>
      </c>
      <c r="D89" s="1">
        <v>46661</v>
      </c>
      <c r="E89">
        <v>2032615</v>
      </c>
    </row>
    <row r="90" spans="1:5" hidden="1" x14ac:dyDescent="0.2">
      <c r="A90" t="s">
        <v>86</v>
      </c>
      <c r="B90">
        <v>210</v>
      </c>
      <c r="C90" s="1">
        <v>46327</v>
      </c>
      <c r="D90" s="1">
        <v>46692</v>
      </c>
      <c r="E90">
        <v>2681790</v>
      </c>
    </row>
    <row r="91" spans="1:5" hidden="1" x14ac:dyDescent="0.2">
      <c r="A91" t="s">
        <v>87</v>
      </c>
      <c r="B91">
        <v>210</v>
      </c>
      <c r="C91" s="1">
        <v>46357</v>
      </c>
      <c r="D91" s="1">
        <v>46722</v>
      </c>
      <c r="E91">
        <v>4882312</v>
      </c>
    </row>
    <row r="92" spans="1:5" hidden="1" x14ac:dyDescent="0.2">
      <c r="A92" t="s">
        <v>88</v>
      </c>
      <c r="B92">
        <v>421</v>
      </c>
      <c r="C92" s="1">
        <v>45839</v>
      </c>
      <c r="D92" s="1">
        <v>46204</v>
      </c>
      <c r="E92">
        <v>701076</v>
      </c>
    </row>
    <row r="93" spans="1:5" hidden="1" x14ac:dyDescent="0.2">
      <c r="A93" t="s">
        <v>89</v>
      </c>
      <c r="B93">
        <v>421</v>
      </c>
      <c r="C93" s="1">
        <v>45870</v>
      </c>
      <c r="D93" s="1">
        <v>46235</v>
      </c>
      <c r="E93">
        <v>32032</v>
      </c>
    </row>
    <row r="94" spans="1:5" hidden="1" x14ac:dyDescent="0.2">
      <c r="A94" t="s">
        <v>90</v>
      </c>
      <c r="B94">
        <v>421</v>
      </c>
      <c r="C94" s="1">
        <v>45901</v>
      </c>
      <c r="D94" s="1">
        <v>46266</v>
      </c>
      <c r="E94">
        <v>3694253</v>
      </c>
    </row>
    <row r="95" spans="1:5" hidden="1" x14ac:dyDescent="0.2">
      <c r="A95" t="s">
        <v>91</v>
      </c>
      <c r="B95">
        <v>421</v>
      </c>
      <c r="C95" s="1">
        <v>45931</v>
      </c>
      <c r="D95" s="1">
        <v>46296</v>
      </c>
      <c r="E95">
        <v>4106179</v>
      </c>
    </row>
    <row r="96" spans="1:5" hidden="1" x14ac:dyDescent="0.2">
      <c r="A96" t="s">
        <v>92</v>
      </c>
      <c r="B96">
        <v>421</v>
      </c>
      <c r="C96" s="1">
        <v>45962</v>
      </c>
      <c r="D96" s="1">
        <v>46327</v>
      </c>
      <c r="E96">
        <v>5774106</v>
      </c>
    </row>
    <row r="97" spans="1:5" hidden="1" x14ac:dyDescent="0.2">
      <c r="A97" t="s">
        <v>93</v>
      </c>
      <c r="B97">
        <v>421</v>
      </c>
      <c r="C97" s="1">
        <v>45992</v>
      </c>
      <c r="D97" s="1">
        <v>46357</v>
      </c>
      <c r="E97">
        <v>7253101</v>
      </c>
    </row>
    <row r="98" spans="1:5" hidden="1" x14ac:dyDescent="0.2">
      <c r="A98" t="s">
        <v>94</v>
      </c>
      <c r="B98">
        <v>421</v>
      </c>
      <c r="C98" s="1">
        <v>46023</v>
      </c>
      <c r="D98" s="1">
        <v>46388</v>
      </c>
      <c r="E98">
        <v>6160000</v>
      </c>
    </row>
    <row r="99" spans="1:5" hidden="1" x14ac:dyDescent="0.2">
      <c r="A99" t="s">
        <v>95</v>
      </c>
      <c r="B99">
        <v>421</v>
      </c>
      <c r="C99" s="1">
        <v>46054</v>
      </c>
      <c r="D99" s="1">
        <v>46419</v>
      </c>
      <c r="E99">
        <v>2240000</v>
      </c>
    </row>
    <row r="100" spans="1:5" hidden="1" x14ac:dyDescent="0.2">
      <c r="A100" t="s">
        <v>96</v>
      </c>
      <c r="B100">
        <v>421</v>
      </c>
      <c r="C100" s="1">
        <v>46082</v>
      </c>
      <c r="D100" s="1">
        <v>46447</v>
      </c>
      <c r="E100">
        <v>2240000</v>
      </c>
    </row>
    <row r="101" spans="1:5" hidden="1" x14ac:dyDescent="0.2">
      <c r="A101" t="s">
        <v>97</v>
      </c>
      <c r="B101">
        <v>421</v>
      </c>
      <c r="C101" s="1">
        <v>46113</v>
      </c>
      <c r="D101" s="1">
        <v>46478</v>
      </c>
      <c r="E101">
        <v>2240000</v>
      </c>
    </row>
    <row r="102" spans="1:5" hidden="1" x14ac:dyDescent="0.2">
      <c r="A102" t="s">
        <v>98</v>
      </c>
      <c r="B102">
        <v>421</v>
      </c>
      <c r="C102" s="1">
        <v>46143</v>
      </c>
      <c r="D102" s="1">
        <v>46508</v>
      </c>
      <c r="E102">
        <v>2240000</v>
      </c>
    </row>
    <row r="103" spans="1:5" hidden="1" x14ac:dyDescent="0.2">
      <c r="A103" t="s">
        <v>99</v>
      </c>
      <c r="B103">
        <v>421</v>
      </c>
      <c r="C103" s="1">
        <v>46174</v>
      </c>
      <c r="D103" s="1">
        <v>46539</v>
      </c>
      <c r="E103">
        <v>3143000</v>
      </c>
    </row>
    <row r="104" spans="1:5" hidden="1" x14ac:dyDescent="0.2">
      <c r="A104" t="s">
        <v>100</v>
      </c>
      <c r="B104">
        <v>421</v>
      </c>
      <c r="C104" s="1">
        <v>46204</v>
      </c>
      <c r="D104" s="1">
        <v>46569</v>
      </c>
      <c r="E104">
        <v>2324000</v>
      </c>
    </row>
    <row r="105" spans="1:5" hidden="1" x14ac:dyDescent="0.2">
      <c r="A105" t="s">
        <v>101</v>
      </c>
      <c r="B105">
        <v>421</v>
      </c>
      <c r="C105" s="1">
        <v>46235</v>
      </c>
      <c r="D105" s="1">
        <v>46600</v>
      </c>
      <c r="E105">
        <v>2633750</v>
      </c>
    </row>
    <row r="106" spans="1:5" hidden="1" x14ac:dyDescent="0.2">
      <c r="A106" t="s">
        <v>102</v>
      </c>
      <c r="B106">
        <v>421</v>
      </c>
      <c r="C106" s="1">
        <v>46266</v>
      </c>
      <c r="D106" s="1">
        <v>46631</v>
      </c>
      <c r="E106">
        <v>6476750</v>
      </c>
    </row>
    <row r="107" spans="1:5" hidden="1" x14ac:dyDescent="0.2">
      <c r="A107" t="s">
        <v>103</v>
      </c>
      <c r="B107">
        <v>421</v>
      </c>
      <c r="C107" s="1">
        <v>46296</v>
      </c>
      <c r="D107" s="1">
        <v>46661</v>
      </c>
      <c r="E107">
        <v>5552750</v>
      </c>
    </row>
    <row r="108" spans="1:5" hidden="1" x14ac:dyDescent="0.2">
      <c r="A108" t="s">
        <v>104</v>
      </c>
      <c r="B108">
        <v>421</v>
      </c>
      <c r="C108" s="1">
        <v>46327</v>
      </c>
      <c r="D108" s="1">
        <v>46692</v>
      </c>
      <c r="E108">
        <v>8639750</v>
      </c>
    </row>
    <row r="109" spans="1:5" hidden="1" x14ac:dyDescent="0.2">
      <c r="A109" t="s">
        <v>105</v>
      </c>
      <c r="B109">
        <v>421</v>
      </c>
      <c r="C109" s="1">
        <v>46357</v>
      </c>
      <c r="D109" s="1">
        <v>46722</v>
      </c>
      <c r="E109">
        <v>18063500</v>
      </c>
    </row>
    <row r="110" spans="1:5" hidden="1" x14ac:dyDescent="0.2">
      <c r="A110" t="s">
        <v>94</v>
      </c>
      <c r="B110">
        <v>421</v>
      </c>
      <c r="C110" s="1">
        <v>46023</v>
      </c>
      <c r="D110" s="1">
        <v>46388</v>
      </c>
      <c r="E110">
        <v>529000</v>
      </c>
    </row>
    <row r="111" spans="1:5" hidden="1" x14ac:dyDescent="0.2">
      <c r="A111" t="s">
        <v>106</v>
      </c>
      <c r="B111">
        <v>425</v>
      </c>
      <c r="C111" s="1">
        <v>46054</v>
      </c>
      <c r="D111" s="1">
        <v>46419</v>
      </c>
      <c r="E111">
        <v>192364</v>
      </c>
    </row>
    <row r="112" spans="1:5" hidden="1" x14ac:dyDescent="0.2">
      <c r="A112" t="s">
        <v>107</v>
      </c>
      <c r="B112">
        <v>425</v>
      </c>
      <c r="C112" s="1">
        <v>46082</v>
      </c>
      <c r="D112" s="1">
        <v>46447</v>
      </c>
      <c r="E112">
        <v>192364</v>
      </c>
    </row>
    <row r="113" spans="1:5" hidden="1" x14ac:dyDescent="0.2">
      <c r="A113" t="s">
        <v>108</v>
      </c>
      <c r="B113">
        <v>425</v>
      </c>
      <c r="C113" s="1">
        <v>46113</v>
      </c>
      <c r="D113" s="1">
        <v>46478</v>
      </c>
      <c r="E113">
        <v>192364</v>
      </c>
    </row>
    <row r="114" spans="1:5" hidden="1" x14ac:dyDescent="0.2">
      <c r="A114" t="s">
        <v>109</v>
      </c>
      <c r="B114">
        <v>425</v>
      </c>
      <c r="C114" s="1">
        <v>46143</v>
      </c>
      <c r="D114" s="1">
        <v>46508</v>
      </c>
      <c r="E114">
        <v>192364</v>
      </c>
    </row>
    <row r="115" spans="1:5" hidden="1" x14ac:dyDescent="0.2">
      <c r="A115" t="s">
        <v>110</v>
      </c>
      <c r="B115">
        <v>425</v>
      </c>
      <c r="C115" s="1">
        <v>46174</v>
      </c>
      <c r="D115" s="1">
        <v>46539</v>
      </c>
      <c r="E115">
        <v>300176</v>
      </c>
    </row>
    <row r="116" spans="1:5" hidden="1" x14ac:dyDescent="0.2">
      <c r="A116" t="s">
        <v>111</v>
      </c>
      <c r="B116">
        <v>425</v>
      </c>
      <c r="C116" s="1">
        <v>46204</v>
      </c>
      <c r="D116" s="1">
        <v>46569</v>
      </c>
      <c r="E116">
        <v>199264</v>
      </c>
    </row>
    <row r="117" spans="1:5" hidden="1" x14ac:dyDescent="0.2">
      <c r="A117" t="s">
        <v>112</v>
      </c>
      <c r="B117">
        <v>425</v>
      </c>
      <c r="C117" s="1">
        <v>46235</v>
      </c>
      <c r="D117" s="1">
        <v>46600</v>
      </c>
      <c r="E117">
        <v>207026</v>
      </c>
    </row>
    <row r="118" spans="1:5" hidden="1" x14ac:dyDescent="0.2">
      <c r="A118" t="s">
        <v>113</v>
      </c>
      <c r="B118">
        <v>425</v>
      </c>
      <c r="C118" s="1">
        <v>46266</v>
      </c>
      <c r="D118" s="1">
        <v>46631</v>
      </c>
      <c r="E118">
        <v>235489</v>
      </c>
    </row>
    <row r="119" spans="1:5" hidden="1" x14ac:dyDescent="0.2">
      <c r="A119" t="s">
        <v>114</v>
      </c>
      <c r="B119">
        <v>425</v>
      </c>
      <c r="C119" s="1">
        <v>46296</v>
      </c>
      <c r="D119" s="1">
        <v>46661</v>
      </c>
      <c r="E119">
        <v>262226</v>
      </c>
    </row>
    <row r="120" spans="1:5" hidden="1" x14ac:dyDescent="0.2">
      <c r="A120" t="s">
        <v>115</v>
      </c>
      <c r="B120">
        <v>425</v>
      </c>
      <c r="C120" s="1">
        <v>46327</v>
      </c>
      <c r="D120" s="1">
        <v>46692</v>
      </c>
      <c r="E120">
        <v>258776</v>
      </c>
    </row>
    <row r="121" spans="1:5" hidden="1" x14ac:dyDescent="0.2">
      <c r="A121" t="s">
        <v>116</v>
      </c>
      <c r="B121">
        <v>425</v>
      </c>
      <c r="C121" s="1">
        <v>46357</v>
      </c>
      <c r="D121" s="1">
        <v>46722</v>
      </c>
      <c r="E121">
        <v>2188189</v>
      </c>
    </row>
    <row r="122" spans="1:5" hidden="1" x14ac:dyDescent="0.2">
      <c r="A122" t="s">
        <v>117</v>
      </c>
      <c r="B122">
        <v>225</v>
      </c>
      <c r="C122" s="1">
        <v>46023</v>
      </c>
      <c r="D122" s="1">
        <v>46388</v>
      </c>
      <c r="E122">
        <v>6020000</v>
      </c>
    </row>
    <row r="123" spans="1:5" hidden="1" x14ac:dyDescent="0.2">
      <c r="A123" t="s">
        <v>118</v>
      </c>
      <c r="B123">
        <v>225</v>
      </c>
      <c r="C123" s="1">
        <v>46054</v>
      </c>
      <c r="D123" s="1">
        <v>46419</v>
      </c>
      <c r="E123">
        <v>2189091</v>
      </c>
    </row>
    <row r="124" spans="1:5" hidden="1" x14ac:dyDescent="0.2">
      <c r="A124" t="s">
        <v>119</v>
      </c>
      <c r="B124">
        <v>225</v>
      </c>
      <c r="C124" s="1">
        <v>46082</v>
      </c>
      <c r="D124" s="1">
        <v>46447</v>
      </c>
      <c r="E124">
        <v>2189091</v>
      </c>
    </row>
    <row r="125" spans="1:5" hidden="1" x14ac:dyDescent="0.2">
      <c r="A125" t="s">
        <v>120</v>
      </c>
      <c r="B125">
        <v>225</v>
      </c>
      <c r="C125" s="1">
        <v>46113</v>
      </c>
      <c r="D125" s="1">
        <v>46478</v>
      </c>
      <c r="E125">
        <v>2189091</v>
      </c>
    </row>
    <row r="126" spans="1:5" hidden="1" x14ac:dyDescent="0.2">
      <c r="A126" t="s">
        <v>121</v>
      </c>
      <c r="B126">
        <v>225</v>
      </c>
      <c r="C126" s="1">
        <v>46143</v>
      </c>
      <c r="D126" s="1">
        <v>46508</v>
      </c>
      <c r="E126">
        <v>2189091</v>
      </c>
    </row>
    <row r="127" spans="1:5" hidden="1" x14ac:dyDescent="0.2">
      <c r="A127" t="s">
        <v>122</v>
      </c>
      <c r="B127">
        <v>225</v>
      </c>
      <c r="C127" s="1">
        <v>46174</v>
      </c>
      <c r="D127" s="1">
        <v>46539</v>
      </c>
      <c r="E127">
        <v>2189091</v>
      </c>
    </row>
    <row r="128" spans="1:5" hidden="1" x14ac:dyDescent="0.2">
      <c r="A128" t="s">
        <v>123</v>
      </c>
      <c r="B128">
        <v>225</v>
      </c>
      <c r="C128" s="1">
        <v>46204</v>
      </c>
      <c r="D128" s="1">
        <v>46569</v>
      </c>
      <c r="E128">
        <v>2194341</v>
      </c>
    </row>
    <row r="129" spans="1:5" hidden="1" x14ac:dyDescent="0.2">
      <c r="A129" t="s">
        <v>124</v>
      </c>
      <c r="B129">
        <v>225</v>
      </c>
      <c r="C129" s="1">
        <v>46235</v>
      </c>
      <c r="D129" s="1">
        <v>46600</v>
      </c>
      <c r="E129">
        <v>2189091</v>
      </c>
    </row>
    <row r="130" spans="1:5" hidden="1" x14ac:dyDescent="0.2">
      <c r="A130" t="s">
        <v>125</v>
      </c>
      <c r="B130">
        <v>225</v>
      </c>
      <c r="C130" s="1">
        <v>46266</v>
      </c>
      <c r="D130" s="1">
        <v>46631</v>
      </c>
      <c r="E130">
        <v>2462091</v>
      </c>
    </row>
    <row r="131" spans="1:5" hidden="1" x14ac:dyDescent="0.2">
      <c r="A131" t="s">
        <v>126</v>
      </c>
      <c r="B131">
        <v>225</v>
      </c>
      <c r="C131" s="1">
        <v>46296</v>
      </c>
      <c r="D131" s="1">
        <v>46661</v>
      </c>
      <c r="E131">
        <v>2698341</v>
      </c>
    </row>
    <row r="132" spans="1:5" hidden="1" x14ac:dyDescent="0.2">
      <c r="A132" t="s">
        <v>127</v>
      </c>
      <c r="B132">
        <v>225</v>
      </c>
      <c r="C132" s="1">
        <v>46327</v>
      </c>
      <c r="D132" s="1">
        <v>46692</v>
      </c>
      <c r="E132">
        <v>3071091</v>
      </c>
    </row>
    <row r="133" spans="1:5" hidden="1" x14ac:dyDescent="0.2">
      <c r="A133" t="s">
        <v>128</v>
      </c>
      <c r="B133">
        <v>225</v>
      </c>
      <c r="C133" s="1">
        <v>46357</v>
      </c>
      <c r="D133" s="1">
        <v>46722</v>
      </c>
      <c r="E133">
        <v>6977091</v>
      </c>
    </row>
    <row r="134" spans="1:5" hidden="1" x14ac:dyDescent="0.2">
      <c r="A134" t="s">
        <v>129</v>
      </c>
      <c r="B134">
        <v>400</v>
      </c>
      <c r="C134" s="1">
        <v>45901</v>
      </c>
      <c r="D134" s="1">
        <v>46266</v>
      </c>
      <c r="E134">
        <v>1059719</v>
      </c>
    </row>
    <row r="135" spans="1:5" hidden="1" x14ac:dyDescent="0.2">
      <c r="A135" t="s">
        <v>130</v>
      </c>
      <c r="B135">
        <v>400</v>
      </c>
      <c r="C135" s="1">
        <v>45931</v>
      </c>
      <c r="D135" s="1">
        <v>46296</v>
      </c>
      <c r="E135">
        <v>573970</v>
      </c>
    </row>
    <row r="136" spans="1:5" hidden="1" x14ac:dyDescent="0.2">
      <c r="A136" t="s">
        <v>131</v>
      </c>
      <c r="B136">
        <v>400</v>
      </c>
      <c r="C136" s="1">
        <v>45962</v>
      </c>
      <c r="D136" s="1">
        <v>46327</v>
      </c>
      <c r="E136">
        <v>966272</v>
      </c>
    </row>
    <row r="137" spans="1:5" hidden="1" x14ac:dyDescent="0.2">
      <c r="A137" t="s">
        <v>132</v>
      </c>
      <c r="B137">
        <v>400</v>
      </c>
      <c r="C137" s="1">
        <v>45992</v>
      </c>
      <c r="D137" s="1">
        <v>46357</v>
      </c>
      <c r="E137">
        <v>1485605</v>
      </c>
    </row>
    <row r="138" spans="1:5" hidden="1" x14ac:dyDescent="0.2">
      <c r="A138" t="s">
        <v>133</v>
      </c>
      <c r="B138">
        <v>400</v>
      </c>
      <c r="C138" s="1">
        <v>46023</v>
      </c>
      <c r="D138" s="1">
        <v>46388</v>
      </c>
      <c r="E138">
        <v>2125000</v>
      </c>
    </row>
    <row r="139" spans="1:5" hidden="1" x14ac:dyDescent="0.2">
      <c r="A139" t="s">
        <v>134</v>
      </c>
      <c r="B139">
        <v>400</v>
      </c>
      <c r="C139" s="1">
        <v>46054</v>
      </c>
      <c r="D139" s="1">
        <v>46419</v>
      </c>
      <c r="E139">
        <v>772727</v>
      </c>
    </row>
    <row r="140" spans="1:5" hidden="1" x14ac:dyDescent="0.2">
      <c r="A140" t="s">
        <v>135</v>
      </c>
      <c r="B140">
        <v>400</v>
      </c>
      <c r="C140" s="1">
        <v>46082</v>
      </c>
      <c r="D140" s="1">
        <v>46447</v>
      </c>
      <c r="E140">
        <v>772727</v>
      </c>
    </row>
    <row r="141" spans="1:5" hidden="1" x14ac:dyDescent="0.2">
      <c r="A141" t="s">
        <v>136</v>
      </c>
      <c r="B141">
        <v>400</v>
      </c>
      <c r="C141" s="1">
        <v>46113</v>
      </c>
      <c r="D141" s="1">
        <v>46478</v>
      </c>
      <c r="E141">
        <v>772727</v>
      </c>
    </row>
    <row r="142" spans="1:5" hidden="1" x14ac:dyDescent="0.2">
      <c r="A142" t="s">
        <v>137</v>
      </c>
      <c r="B142">
        <v>400</v>
      </c>
      <c r="C142" s="1">
        <v>46143</v>
      </c>
      <c r="D142" s="1">
        <v>46508</v>
      </c>
      <c r="E142">
        <v>772727</v>
      </c>
    </row>
    <row r="143" spans="1:5" hidden="1" x14ac:dyDescent="0.2">
      <c r="A143" t="s">
        <v>138</v>
      </c>
      <c r="B143">
        <v>400</v>
      </c>
      <c r="C143" s="1">
        <v>46174</v>
      </c>
      <c r="D143" s="1">
        <v>46539</v>
      </c>
      <c r="E143">
        <v>772727</v>
      </c>
    </row>
    <row r="144" spans="1:5" hidden="1" x14ac:dyDescent="0.2">
      <c r="A144" t="s">
        <v>139</v>
      </c>
      <c r="B144">
        <v>400</v>
      </c>
      <c r="C144" s="1">
        <v>46204</v>
      </c>
      <c r="D144" s="1">
        <v>46569</v>
      </c>
      <c r="E144">
        <v>772727</v>
      </c>
    </row>
    <row r="145" spans="1:5" hidden="1" x14ac:dyDescent="0.2">
      <c r="A145" t="s">
        <v>140</v>
      </c>
      <c r="B145">
        <v>400</v>
      </c>
      <c r="C145" s="1">
        <v>46235</v>
      </c>
      <c r="D145" s="1">
        <v>46600</v>
      </c>
      <c r="E145">
        <v>938477</v>
      </c>
    </row>
    <row r="146" spans="1:5" hidden="1" x14ac:dyDescent="0.2">
      <c r="A146" t="s">
        <v>141</v>
      </c>
      <c r="B146">
        <v>400</v>
      </c>
      <c r="C146" s="1">
        <v>46266</v>
      </c>
      <c r="D146" s="1">
        <v>46631</v>
      </c>
      <c r="E146">
        <v>1403852</v>
      </c>
    </row>
    <row r="147" spans="1:5" hidden="1" x14ac:dyDescent="0.2">
      <c r="A147" t="s">
        <v>142</v>
      </c>
      <c r="B147">
        <v>400</v>
      </c>
      <c r="C147" s="1">
        <v>46296</v>
      </c>
      <c r="D147" s="1">
        <v>46661</v>
      </c>
      <c r="E147">
        <v>1276352</v>
      </c>
    </row>
    <row r="148" spans="1:5" hidden="1" x14ac:dyDescent="0.2">
      <c r="A148" t="s">
        <v>143</v>
      </c>
      <c r="B148">
        <v>400</v>
      </c>
      <c r="C148" s="1">
        <v>46327</v>
      </c>
      <c r="D148" s="1">
        <v>46692</v>
      </c>
      <c r="E148">
        <v>1690727</v>
      </c>
    </row>
    <row r="149" spans="1:5" hidden="1" x14ac:dyDescent="0.2">
      <c r="A149" t="s">
        <v>144</v>
      </c>
      <c r="B149">
        <v>400</v>
      </c>
      <c r="C149" s="1">
        <v>46357</v>
      </c>
      <c r="D149" s="1">
        <v>46722</v>
      </c>
      <c r="E149">
        <v>3061352</v>
      </c>
    </row>
    <row r="150" spans="1:5" hidden="1" x14ac:dyDescent="0.2">
      <c r="A150" t="s">
        <v>145</v>
      </c>
      <c r="B150">
        <v>410</v>
      </c>
      <c r="C150" s="1">
        <v>46023</v>
      </c>
      <c r="D150" s="1">
        <v>46388</v>
      </c>
      <c r="E150">
        <v>84000</v>
      </c>
    </row>
    <row r="151" spans="1:5" hidden="1" x14ac:dyDescent="0.2">
      <c r="A151" t="s">
        <v>146</v>
      </c>
      <c r="B151">
        <v>410</v>
      </c>
      <c r="C151" s="1">
        <v>46054</v>
      </c>
      <c r="D151" s="1">
        <v>46419</v>
      </c>
      <c r="E151">
        <v>30545</v>
      </c>
    </row>
    <row r="152" spans="1:5" hidden="1" x14ac:dyDescent="0.2">
      <c r="A152" t="s">
        <v>147</v>
      </c>
      <c r="B152">
        <v>410</v>
      </c>
      <c r="C152" s="1">
        <v>46082</v>
      </c>
      <c r="D152" s="1">
        <v>46447</v>
      </c>
      <c r="E152">
        <v>30545</v>
      </c>
    </row>
    <row r="153" spans="1:5" hidden="1" x14ac:dyDescent="0.2">
      <c r="A153" t="s">
        <v>148</v>
      </c>
      <c r="B153">
        <v>410</v>
      </c>
      <c r="C153" s="1">
        <v>46113</v>
      </c>
      <c r="D153" s="1">
        <v>46478</v>
      </c>
      <c r="E153">
        <v>30545</v>
      </c>
    </row>
    <row r="154" spans="1:5" hidden="1" x14ac:dyDescent="0.2">
      <c r="A154" t="s">
        <v>149</v>
      </c>
      <c r="B154">
        <v>410</v>
      </c>
      <c r="C154" s="1">
        <v>46143</v>
      </c>
      <c r="D154" s="1">
        <v>46508</v>
      </c>
      <c r="E154">
        <v>30545</v>
      </c>
    </row>
    <row r="155" spans="1:5" hidden="1" x14ac:dyDescent="0.2">
      <c r="A155" t="s">
        <v>150</v>
      </c>
      <c r="B155">
        <v>410</v>
      </c>
      <c r="C155" s="1">
        <v>46174</v>
      </c>
      <c r="D155" s="1">
        <v>46539</v>
      </c>
      <c r="E155">
        <v>30545</v>
      </c>
    </row>
    <row r="156" spans="1:5" hidden="1" x14ac:dyDescent="0.2">
      <c r="A156" t="s">
        <v>151</v>
      </c>
      <c r="B156">
        <v>410</v>
      </c>
      <c r="C156" s="1">
        <v>46204</v>
      </c>
      <c r="D156" s="1">
        <v>46569</v>
      </c>
      <c r="E156">
        <v>30545</v>
      </c>
    </row>
    <row r="157" spans="1:5" hidden="1" x14ac:dyDescent="0.2">
      <c r="A157" t="s">
        <v>152</v>
      </c>
      <c r="B157">
        <v>410</v>
      </c>
      <c r="C157" s="1">
        <v>46235</v>
      </c>
      <c r="D157" s="1">
        <v>46600</v>
      </c>
      <c r="E157">
        <v>33695</v>
      </c>
    </row>
    <row r="158" spans="1:5" hidden="1" x14ac:dyDescent="0.2">
      <c r="A158" t="s">
        <v>153</v>
      </c>
      <c r="B158">
        <v>410</v>
      </c>
      <c r="C158" s="1">
        <v>46266</v>
      </c>
      <c r="D158" s="1">
        <v>46631</v>
      </c>
      <c r="E158">
        <v>66770</v>
      </c>
    </row>
    <row r="159" spans="1:5" hidden="1" x14ac:dyDescent="0.2">
      <c r="A159" t="s">
        <v>154</v>
      </c>
      <c r="B159">
        <v>410</v>
      </c>
      <c r="C159" s="1">
        <v>46296</v>
      </c>
      <c r="D159" s="1">
        <v>46661</v>
      </c>
      <c r="E159">
        <v>57320</v>
      </c>
    </row>
    <row r="160" spans="1:5" hidden="1" x14ac:dyDescent="0.2">
      <c r="A160" t="s">
        <v>155</v>
      </c>
      <c r="B160">
        <v>410</v>
      </c>
      <c r="C160" s="1">
        <v>46327</v>
      </c>
      <c r="D160" s="1">
        <v>46692</v>
      </c>
      <c r="E160">
        <v>63620</v>
      </c>
    </row>
    <row r="161" spans="1:5" hidden="1" x14ac:dyDescent="0.2">
      <c r="A161" t="s">
        <v>156</v>
      </c>
      <c r="B161">
        <v>410</v>
      </c>
      <c r="C161" s="1">
        <v>46357</v>
      </c>
      <c r="D161" s="1">
        <v>46722</v>
      </c>
      <c r="E161">
        <v>347120</v>
      </c>
    </row>
    <row r="162" spans="1:5" hidden="1" x14ac:dyDescent="0.2">
      <c r="A162" t="s">
        <v>157</v>
      </c>
      <c r="B162">
        <v>420</v>
      </c>
      <c r="C162" s="1">
        <v>46023</v>
      </c>
      <c r="D162" s="1">
        <v>46388</v>
      </c>
      <c r="E162">
        <v>1440000</v>
      </c>
    </row>
    <row r="163" spans="1:5" hidden="1" x14ac:dyDescent="0.2">
      <c r="A163" t="s">
        <v>158</v>
      </c>
      <c r="B163">
        <v>420</v>
      </c>
      <c r="C163" s="1">
        <v>46054</v>
      </c>
      <c r="D163" s="1">
        <v>46419</v>
      </c>
      <c r="E163">
        <v>523636</v>
      </c>
    </row>
    <row r="164" spans="1:5" hidden="1" x14ac:dyDescent="0.2">
      <c r="A164" t="s">
        <v>159</v>
      </c>
      <c r="B164">
        <v>420</v>
      </c>
      <c r="C164" s="1">
        <v>46082</v>
      </c>
      <c r="D164" s="1">
        <v>46447</v>
      </c>
      <c r="E164">
        <v>523636</v>
      </c>
    </row>
    <row r="165" spans="1:5" hidden="1" x14ac:dyDescent="0.2">
      <c r="A165" t="s">
        <v>160</v>
      </c>
      <c r="B165">
        <v>420</v>
      </c>
      <c r="C165" s="1">
        <v>46113</v>
      </c>
      <c r="D165" s="1">
        <v>46478</v>
      </c>
      <c r="E165">
        <v>523636</v>
      </c>
    </row>
    <row r="166" spans="1:5" hidden="1" x14ac:dyDescent="0.2">
      <c r="A166" t="s">
        <v>161</v>
      </c>
      <c r="B166">
        <v>420</v>
      </c>
      <c r="C166" s="1">
        <v>46143</v>
      </c>
      <c r="D166" s="1">
        <v>46508</v>
      </c>
      <c r="E166">
        <v>523636</v>
      </c>
    </row>
    <row r="167" spans="1:5" hidden="1" x14ac:dyDescent="0.2">
      <c r="A167" t="s">
        <v>162</v>
      </c>
      <c r="B167">
        <v>420</v>
      </c>
      <c r="C167" s="1">
        <v>46174</v>
      </c>
      <c r="D167" s="1">
        <v>46539</v>
      </c>
      <c r="E167">
        <v>523636</v>
      </c>
    </row>
    <row r="168" spans="1:5" hidden="1" x14ac:dyDescent="0.2">
      <c r="A168" t="s">
        <v>163</v>
      </c>
      <c r="B168">
        <v>420</v>
      </c>
      <c r="C168" s="1">
        <v>46204</v>
      </c>
      <c r="D168" s="1">
        <v>46569</v>
      </c>
      <c r="E168">
        <v>523636</v>
      </c>
    </row>
    <row r="169" spans="1:5" hidden="1" x14ac:dyDescent="0.2">
      <c r="A169" t="s">
        <v>164</v>
      </c>
      <c r="B169">
        <v>420</v>
      </c>
      <c r="C169" s="1">
        <v>46235</v>
      </c>
      <c r="D169" s="1">
        <v>46600</v>
      </c>
      <c r="E169">
        <v>523636</v>
      </c>
    </row>
    <row r="170" spans="1:5" hidden="1" x14ac:dyDescent="0.2">
      <c r="A170" t="s">
        <v>165</v>
      </c>
      <c r="B170">
        <v>420</v>
      </c>
      <c r="C170" s="1">
        <v>46266</v>
      </c>
      <c r="D170" s="1">
        <v>46631</v>
      </c>
      <c r="E170">
        <v>523636</v>
      </c>
    </row>
    <row r="171" spans="1:5" hidden="1" x14ac:dyDescent="0.2">
      <c r="A171" t="s">
        <v>166</v>
      </c>
      <c r="B171">
        <v>420</v>
      </c>
      <c r="C171" s="1">
        <v>46296</v>
      </c>
      <c r="D171" s="1">
        <v>46661</v>
      </c>
      <c r="E171">
        <v>523636</v>
      </c>
    </row>
    <row r="172" spans="1:5" hidden="1" x14ac:dyDescent="0.2">
      <c r="A172" t="s">
        <v>167</v>
      </c>
      <c r="B172">
        <v>420</v>
      </c>
      <c r="C172" s="1">
        <v>46327</v>
      </c>
      <c r="D172" s="1">
        <v>46692</v>
      </c>
      <c r="E172">
        <v>523636</v>
      </c>
    </row>
    <row r="173" spans="1:5" hidden="1" x14ac:dyDescent="0.2">
      <c r="A173" t="s">
        <v>168</v>
      </c>
      <c r="B173">
        <v>420</v>
      </c>
      <c r="C173" s="1">
        <v>46357</v>
      </c>
      <c r="D173" s="1">
        <v>46722</v>
      </c>
      <c r="E173">
        <v>523636</v>
      </c>
    </row>
    <row r="174" spans="1:5" hidden="1" x14ac:dyDescent="0.2">
      <c r="A174" t="s">
        <v>169</v>
      </c>
      <c r="B174">
        <v>100</v>
      </c>
      <c r="C174" s="1">
        <v>45748</v>
      </c>
      <c r="D174" s="1">
        <v>46113</v>
      </c>
      <c r="E174">
        <v>146943</v>
      </c>
    </row>
    <row r="175" spans="1:5" hidden="1" x14ac:dyDescent="0.2">
      <c r="A175" t="s">
        <v>170</v>
      </c>
      <c r="B175">
        <v>100</v>
      </c>
      <c r="C175" s="1">
        <v>45778</v>
      </c>
      <c r="D175" s="1">
        <v>46143</v>
      </c>
      <c r="E175">
        <v>154162</v>
      </c>
    </row>
    <row r="176" spans="1:5" hidden="1" x14ac:dyDescent="0.2">
      <c r="A176" t="s">
        <v>171</v>
      </c>
      <c r="B176">
        <v>100</v>
      </c>
      <c r="C176" s="1">
        <v>45809</v>
      </c>
      <c r="D176" s="1">
        <v>46174</v>
      </c>
      <c r="E176">
        <v>149532</v>
      </c>
    </row>
    <row r="177" spans="1:5" hidden="1" x14ac:dyDescent="0.2">
      <c r="A177" t="s">
        <v>172</v>
      </c>
      <c r="B177">
        <v>100</v>
      </c>
      <c r="C177" s="1">
        <v>45839</v>
      </c>
      <c r="D177" s="1">
        <v>46204</v>
      </c>
      <c r="E177">
        <v>299876</v>
      </c>
    </row>
    <row r="178" spans="1:5" hidden="1" x14ac:dyDescent="0.2">
      <c r="A178" t="s">
        <v>173</v>
      </c>
      <c r="B178">
        <v>100</v>
      </c>
      <c r="C178" s="1">
        <v>45870</v>
      </c>
      <c r="D178" s="1">
        <v>46235</v>
      </c>
      <c r="E178">
        <v>415709</v>
      </c>
    </row>
    <row r="179" spans="1:5" hidden="1" x14ac:dyDescent="0.2">
      <c r="A179" t="s">
        <v>174</v>
      </c>
      <c r="B179">
        <v>100</v>
      </c>
      <c r="C179" s="1">
        <v>45901</v>
      </c>
      <c r="D179" s="1">
        <v>46266</v>
      </c>
      <c r="E179">
        <v>386658</v>
      </c>
    </row>
    <row r="180" spans="1:5" hidden="1" x14ac:dyDescent="0.2">
      <c r="A180" t="s">
        <v>175</v>
      </c>
      <c r="B180">
        <v>100</v>
      </c>
      <c r="C180" s="1">
        <v>45931</v>
      </c>
      <c r="D180" s="1">
        <v>46296</v>
      </c>
      <c r="E180">
        <v>311479</v>
      </c>
    </row>
    <row r="181" spans="1:5" hidden="1" x14ac:dyDescent="0.2">
      <c r="A181" t="s">
        <v>176</v>
      </c>
      <c r="B181">
        <v>100</v>
      </c>
      <c r="C181" s="1">
        <v>45962</v>
      </c>
      <c r="D181" s="1">
        <v>46327</v>
      </c>
      <c r="E181">
        <v>396404</v>
      </c>
    </row>
    <row r="182" spans="1:5" hidden="1" x14ac:dyDescent="0.2">
      <c r="A182" t="s">
        <v>177</v>
      </c>
      <c r="B182">
        <v>100</v>
      </c>
      <c r="C182" s="1">
        <v>45992</v>
      </c>
      <c r="D182" s="1">
        <v>46357</v>
      </c>
      <c r="E182">
        <v>301835</v>
      </c>
    </row>
    <row r="183" spans="1:5" hidden="1" x14ac:dyDescent="0.2">
      <c r="A183" t="s">
        <v>178</v>
      </c>
      <c r="B183">
        <v>100</v>
      </c>
      <c r="C183" s="1">
        <v>46023</v>
      </c>
      <c r="D183" s="1">
        <v>46388</v>
      </c>
      <c r="E183">
        <v>297275</v>
      </c>
    </row>
    <row r="184" spans="1:5" hidden="1" x14ac:dyDescent="0.2">
      <c r="A184" t="s">
        <v>179</v>
      </c>
      <c r="B184">
        <v>100</v>
      </c>
      <c r="C184" s="1">
        <v>46054</v>
      </c>
      <c r="D184" s="1">
        <v>46419</v>
      </c>
      <c r="E184">
        <v>327003</v>
      </c>
    </row>
    <row r="185" spans="1:5" hidden="1" x14ac:dyDescent="0.2">
      <c r="A185" t="s">
        <v>180</v>
      </c>
      <c r="B185">
        <v>100</v>
      </c>
      <c r="C185" s="1">
        <v>46082</v>
      </c>
      <c r="D185" s="1">
        <v>46447</v>
      </c>
      <c r="E185">
        <v>423240</v>
      </c>
    </row>
    <row r="186" spans="1:5" hidden="1" x14ac:dyDescent="0.2">
      <c r="A186" t="s">
        <v>181</v>
      </c>
      <c r="B186">
        <v>100</v>
      </c>
      <c r="C186" s="1">
        <v>46113</v>
      </c>
      <c r="D186" s="1">
        <v>46478</v>
      </c>
      <c r="E186">
        <v>500694</v>
      </c>
    </row>
    <row r="187" spans="1:5" hidden="1" x14ac:dyDescent="0.2">
      <c r="A187" t="s">
        <v>182</v>
      </c>
      <c r="B187">
        <v>100</v>
      </c>
      <c r="C187" s="1">
        <v>46143</v>
      </c>
      <c r="D187" s="1">
        <v>46508</v>
      </c>
      <c r="E187">
        <v>581983</v>
      </c>
    </row>
    <row r="188" spans="1:5" hidden="1" x14ac:dyDescent="0.2">
      <c r="A188" t="s">
        <v>183</v>
      </c>
      <c r="B188">
        <v>100</v>
      </c>
      <c r="C188" s="1">
        <v>46174</v>
      </c>
      <c r="D188" s="1">
        <v>46539</v>
      </c>
      <c r="E188">
        <v>792843</v>
      </c>
    </row>
    <row r="189" spans="1:5" hidden="1" x14ac:dyDescent="0.2">
      <c r="A189" t="s">
        <v>184</v>
      </c>
      <c r="B189">
        <v>100</v>
      </c>
      <c r="C189" s="1">
        <v>46204</v>
      </c>
      <c r="D189" s="1">
        <v>46569</v>
      </c>
      <c r="E189">
        <v>1089553</v>
      </c>
    </row>
    <row r="190" spans="1:5" hidden="1" x14ac:dyDescent="0.2">
      <c r="A190" t="s">
        <v>185</v>
      </c>
      <c r="B190">
        <v>100</v>
      </c>
      <c r="C190" s="1">
        <v>46235</v>
      </c>
      <c r="D190" s="1">
        <v>46600</v>
      </c>
      <c r="E190">
        <v>1182200</v>
      </c>
    </row>
    <row r="191" spans="1:5" hidden="1" x14ac:dyDescent="0.2">
      <c r="A191" t="s">
        <v>186</v>
      </c>
      <c r="B191">
        <v>100</v>
      </c>
      <c r="C191" s="1">
        <v>46266</v>
      </c>
      <c r="D191" s="1">
        <v>46631</v>
      </c>
      <c r="E191">
        <v>1297683</v>
      </c>
    </row>
    <row r="192" spans="1:5" hidden="1" x14ac:dyDescent="0.2">
      <c r="A192" t="s">
        <v>187</v>
      </c>
      <c r="B192">
        <v>100</v>
      </c>
      <c r="C192" s="1">
        <v>46296</v>
      </c>
      <c r="D192" s="1">
        <v>46661</v>
      </c>
      <c r="E192">
        <v>1245175</v>
      </c>
    </row>
    <row r="193" spans="1:5" hidden="1" x14ac:dyDescent="0.2">
      <c r="A193" t="s">
        <v>188</v>
      </c>
      <c r="B193">
        <v>100</v>
      </c>
      <c r="C193" s="1">
        <v>46327</v>
      </c>
      <c r="D193" s="1">
        <v>46692</v>
      </c>
      <c r="E193">
        <v>1181178</v>
      </c>
    </row>
    <row r="194" spans="1:5" hidden="1" x14ac:dyDescent="0.2">
      <c r="A194" t="s">
        <v>189</v>
      </c>
      <c r="B194">
        <v>100</v>
      </c>
      <c r="C194" s="1">
        <v>46357</v>
      </c>
      <c r="D194" s="1">
        <v>46722</v>
      </c>
      <c r="E194">
        <v>1250305</v>
      </c>
    </row>
    <row r="195" spans="1:5" hidden="1" x14ac:dyDescent="0.2">
      <c r="A195" t="s">
        <v>190</v>
      </c>
      <c r="B195">
        <v>150</v>
      </c>
      <c r="C195" s="1">
        <v>46113</v>
      </c>
      <c r="D195" s="1">
        <v>46478</v>
      </c>
      <c r="E195">
        <v>50000</v>
      </c>
    </row>
    <row r="196" spans="1:5" hidden="1" x14ac:dyDescent="0.2">
      <c r="A196" t="s">
        <v>191</v>
      </c>
      <c r="B196">
        <v>150</v>
      </c>
      <c r="C196" s="1">
        <v>46143</v>
      </c>
      <c r="D196" s="1">
        <v>46508</v>
      </c>
      <c r="E196">
        <v>91000</v>
      </c>
    </row>
    <row r="197" spans="1:5" hidden="1" x14ac:dyDescent="0.2">
      <c r="A197" t="s">
        <v>192</v>
      </c>
      <c r="B197">
        <v>150</v>
      </c>
      <c r="C197" s="1">
        <v>46174</v>
      </c>
      <c r="D197" s="1">
        <v>46539</v>
      </c>
      <c r="E197">
        <v>165620</v>
      </c>
    </row>
    <row r="198" spans="1:5" hidden="1" x14ac:dyDescent="0.2">
      <c r="A198" t="s">
        <v>193</v>
      </c>
      <c r="B198">
        <v>150</v>
      </c>
      <c r="C198" s="1">
        <v>46204</v>
      </c>
      <c r="D198" s="1">
        <v>46569</v>
      </c>
      <c r="E198">
        <v>185494</v>
      </c>
    </row>
    <row r="199" spans="1:5" hidden="1" x14ac:dyDescent="0.2">
      <c r="A199" t="s">
        <v>194</v>
      </c>
      <c r="B199">
        <v>150</v>
      </c>
      <c r="C199" s="1">
        <v>46235</v>
      </c>
      <c r="D199" s="1">
        <v>46600</v>
      </c>
      <c r="E199">
        <v>185494</v>
      </c>
    </row>
    <row r="200" spans="1:5" hidden="1" x14ac:dyDescent="0.2">
      <c r="A200" t="s">
        <v>195</v>
      </c>
      <c r="B200">
        <v>150</v>
      </c>
      <c r="C200" s="1">
        <v>46266</v>
      </c>
      <c r="D200" s="1">
        <v>46631</v>
      </c>
      <c r="E200">
        <v>204044</v>
      </c>
    </row>
    <row r="201" spans="1:5" hidden="1" x14ac:dyDescent="0.2">
      <c r="A201" t="s">
        <v>196</v>
      </c>
      <c r="B201">
        <v>150</v>
      </c>
      <c r="C201" s="1">
        <v>46296</v>
      </c>
      <c r="D201" s="1">
        <v>46661</v>
      </c>
      <c r="E201">
        <v>251411</v>
      </c>
    </row>
    <row r="202" spans="1:5" hidden="1" x14ac:dyDescent="0.2">
      <c r="A202" t="s">
        <v>197</v>
      </c>
      <c r="B202">
        <v>150</v>
      </c>
      <c r="C202" s="1">
        <v>46327</v>
      </c>
      <c r="D202" s="1">
        <v>46692</v>
      </c>
      <c r="E202">
        <v>377117</v>
      </c>
    </row>
    <row r="203" spans="1:5" hidden="1" x14ac:dyDescent="0.2">
      <c r="A203" t="s">
        <v>198</v>
      </c>
      <c r="B203">
        <v>150</v>
      </c>
      <c r="C203" s="1">
        <v>46357</v>
      </c>
      <c r="D203" s="1">
        <v>46722</v>
      </c>
      <c r="E203">
        <v>565675</v>
      </c>
    </row>
    <row r="204" spans="1:5" x14ac:dyDescent="0.2">
      <c r="E204" s="2"/>
    </row>
    <row r="205" spans="1:5" x14ac:dyDescent="0.2">
      <c r="E205" s="2">
        <f>SUBTOTAL(9,E2:E204)</f>
        <v>624278</v>
      </c>
    </row>
  </sheetData>
  <autoFilter ref="A1:E203" xr:uid="{E511F2D8-AF68-4CA3-969C-0D66D7A4550E}">
    <filterColumn colId="1">
      <filters>
        <filter val="100"/>
      </filters>
    </filterColumn>
    <filterColumn colId="2">
      <filters>
        <dateGroupItem year="2025" month="1" dateTimeGrouping="month"/>
        <dateGroupItem year="2025" month="2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קלט פרודוקציה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ilan Barlev</cp:lastModifiedBy>
  <dcterms:created xsi:type="dcterms:W3CDTF">2026-02-20T12:25:00Z</dcterms:created>
  <dcterms:modified xsi:type="dcterms:W3CDTF">2026-02-20T15:44:31Z</dcterms:modified>
</cp:coreProperties>
</file>